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remoSense Costs" sheetId="2" state="visible" r:id="rId4"/>
    <sheet name="Price Matrix" sheetId="3" state="visible" r:id="rId5"/>
    <sheet name="Unit Economics" sheetId="4" state="visible" r:id="rId6"/>
    <sheet name="Market" sheetId="5" state="visible" r:id="rId7"/>
    <sheet name="Forecast" sheetId="6" state="visible" r:id="rId8"/>
    <sheet name="Valuation" sheetId="7" state="visible" r:id="rId9"/>
    <sheet name="Funding Scenarios" sheetId="8" state="visible" r:id="rId10"/>
    <sheet name="Use of Funds" sheetId="9" state="visible" r:id="rId11"/>
    <sheet name="Competitors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<sst xmlns="http://schemas.openxmlformats.org/spreadsheetml/2006/main" count="762" uniqueCount="615">
  <si>
    <t xml:space="preserve">AVERRA — model inputs (blue = input · yellow = key assumption to confirm · black = formula)</t>
  </si>
  <si>
    <t xml:space="preserve">ID</t>
  </si>
  <si>
    <t xml:space="preserve">Input</t>
  </si>
  <si>
    <t xml:space="preserve">Value</t>
  </si>
  <si>
    <t xml:space="preserve">Unit</t>
  </si>
  <si>
    <t xml:space="preserve">Status</t>
  </si>
  <si>
    <t xml:space="preserve">Source / basis</t>
  </si>
  <si>
    <t xml:space="preserve">M1</t>
  </si>
  <si>
    <t xml:space="preserve">India population aged 60+ (2022)</t>
  </si>
  <si>
    <t xml:space="preserve">people</t>
  </si>
  <si>
    <t xml:space="preserve">Sourced</t>
  </si>
  <si>
    <t xml:space="preserve">UNFPA India Ageing Report 2023 (The National, 28 Sep 2023)</t>
  </si>
  <si>
    <t xml:space="preserve">M2</t>
  </si>
  <si>
    <t xml:space="preserve">60+ share of population (2022)</t>
  </si>
  <si>
    <t xml:space="preserve">%</t>
  </si>
  <si>
    <t xml:space="preserve">UNFPA India Ageing Report 2023</t>
  </si>
  <si>
    <t xml:space="preserve">M3</t>
  </si>
  <si>
    <t xml:space="preserve">PD prevalence, age 60+</t>
  </si>
  <si>
    <t xml:space="preserve">rate</t>
  </si>
  <si>
    <t xml:space="preserve">Je et al., Anand (Gujarat) 2019–20, via Khurana &amp; Gourie-Devi, Cureus 2025</t>
  </si>
  <si>
    <t xml:space="preserve">M4</t>
  </si>
  <si>
    <t xml:space="preserve">Essential-tremor crude prevalence</t>
  </si>
  <si>
    <t xml:space="preserve">Chin et al., rural Gujarat, Mov Disord 2021 (single study)</t>
  </si>
  <si>
    <t xml:space="preserve">M5</t>
  </si>
  <si>
    <t xml:space="preserve">Urban share of population</t>
  </si>
  <si>
    <t xml:space="preserve">Census of India 2011 (dated)</t>
  </si>
  <si>
    <t xml:space="preserve">M6</t>
  </si>
  <si>
    <t xml:space="preserve">Urban patients under regular neurologist follow-up</t>
  </si>
  <si>
    <t xml:space="preserve">Estimate</t>
  </si>
  <si>
    <t xml:space="preserve">Founders' estimate — validate in discovery</t>
  </si>
  <si>
    <t xml:space="preserve">M7</t>
  </si>
  <si>
    <t xml:space="preserve">PD + ET patients whose tremor disrupts eating</t>
  </si>
  <si>
    <t xml:space="preserve">Founders' estimate — validate with neurologists / OTs</t>
  </si>
  <si>
    <t xml:space="preserve">M8</t>
  </si>
  <si>
    <t xml:space="preserve">Device replacement life</t>
  </si>
  <si>
    <t xml:space="preserve">years</t>
  </si>
  <si>
    <t xml:space="preserve">Engineering estimate</t>
  </si>
  <si>
    <t xml:space="preserve">P1</t>
  </si>
  <si>
    <t xml:space="preserve">TremoSense launch price (incl. GST) — RECOMMENDED</t>
  </si>
  <si>
    <t xml:space="preserve">₹</t>
  </si>
  <si>
    <t xml:space="preserve">Decision</t>
  </si>
  <si>
    <t xml:space="preserve">Chosen from Price Matrix: lowest round price with ≥30% contribution margin at Scenario B cost</t>
  </si>
  <si>
    <t xml:space="preserve">P2</t>
  </si>
  <si>
    <t xml:space="preserve">Lowest viable TremoSense price at verified C cost (NOT used in plan)</t>
  </si>
  <si>
    <t xml:space="preserve">Option</t>
  </si>
  <si>
    <t xml:space="preserve">≈42% contribution at C; an affordability option once profitability is secure</t>
  </si>
  <si>
    <t xml:space="preserve">P13</t>
  </si>
  <si>
    <t xml:space="preserve">TremoSense price from M19, once Scenario C cost is verified (incl. GST)</t>
  </si>
  <si>
    <t xml:space="preserve">Price cut shared with customers after verified cost reduction; still ≥40% contribution at C</t>
  </si>
  <si>
    <t xml:space="preserve">P3</t>
  </si>
  <si>
    <t xml:space="preserve">ParkinSense wellness wearable price (incl. GST)</t>
  </si>
  <si>
    <t xml:space="preserve">Hypothesis to test; below Amazfit Helio Strap (₹12,000+), Google Fitbit Air (₹13,999), WHOOP One (₹20,890/yr) and Garmin Cirqa (₹25,990); positive contribution after CAC</t>
  </si>
  <si>
    <t xml:space="preserve">P4</t>
  </si>
  <si>
    <t xml:space="preserve">ParkinSense Movement Insights subscription (incl. GST)</t>
  </si>
  <si>
    <t xml:space="preserve">₹/month</t>
  </si>
  <si>
    <t xml:space="preserve">Optional subscription; to test</t>
  </si>
  <si>
    <t xml:space="preserve">P5</t>
  </si>
  <si>
    <t xml:space="preserve">ParkinSense research-use-only (RUO) kit (incl. GST)</t>
  </si>
  <si>
    <t xml:space="preserve">₹/kit</t>
  </si>
  <si>
    <t xml:space="preserve">5 wearables + 12-month analytics licence for labs</t>
  </si>
  <si>
    <t xml:space="preserve">P6</t>
  </si>
  <si>
    <t xml:space="preserve">GST — TremoSense (assistive / medical device)</t>
  </si>
  <si>
    <t xml:space="preserve">To verify</t>
  </si>
  <si>
    <t xml:space="preserve">Verify HSN classification with a CA</t>
  </si>
  <si>
    <t xml:space="preserve">P7</t>
  </si>
  <si>
    <t xml:space="preserve">GST — ParkinSense wearable, subscription, RUO</t>
  </si>
  <si>
    <t xml:space="preserve">Consumer electronics / SaaS rate — verify with a CA</t>
  </si>
  <si>
    <t xml:space="preserve">P8</t>
  </si>
  <si>
    <t xml:space="preserve">Clinic / OT channel margin</t>
  </si>
  <si>
    <t xml:space="preserve">Negotiate in pilots</t>
  </si>
  <si>
    <t xml:space="preserve">P9</t>
  </si>
  <si>
    <t xml:space="preserve">Online marketplace fee (ParkinSense D2C)</t>
  </si>
  <si>
    <t xml:space="preserve">Assumption</t>
  </si>
  <si>
    <t xml:space="preserve">P10</t>
  </si>
  <si>
    <t xml:space="preserve">Institutional procurement discount</t>
  </si>
  <si>
    <t xml:space="preserve">Assumption; 60-day payment terms</t>
  </si>
  <si>
    <t xml:space="preserve">P11</t>
  </si>
  <si>
    <t xml:space="preserve">TremoSense rental fee (incl. 18% GST)</t>
  </si>
  <si>
    <t xml:space="preserve">Trial / rental via OT clinics — not validated</t>
  </si>
  <si>
    <t xml:space="preserve">P12</t>
  </si>
  <si>
    <t xml:space="preserve">No-cost EMI subvention cost</t>
  </si>
  <si>
    <t xml:space="preserve">% of price</t>
  </si>
  <si>
    <t xml:space="preserve">Lender fee borne by AVERRA — get partner quote</t>
  </si>
  <si>
    <t xml:space="preserve">C1</t>
  </si>
  <si>
    <t xml:space="preserve">Warranty reserve (% of ex-GST price)</t>
  </si>
  <si>
    <t xml:space="preserve">Scenario A uses 8% (see Costs sheet)</t>
  </si>
  <si>
    <t xml:space="preserve">C2</t>
  </si>
  <si>
    <t xml:space="preserve">Fulfilment + payment cost per order</t>
  </si>
  <si>
    <t xml:space="preserve">Courier + gateway</t>
  </si>
  <si>
    <t xml:space="preserve">C3</t>
  </si>
  <si>
    <t xml:space="preserve">ParkinSense small-batch COGS</t>
  </si>
  <si>
    <t xml:space="preserve">Costs sheet build-up; needs supplier quotes</t>
  </si>
  <si>
    <t xml:space="preserve">C4</t>
  </si>
  <si>
    <t xml:space="preserve">Subscription cloud + support cost</t>
  </si>
  <si>
    <t xml:space="preserve">C5</t>
  </si>
  <si>
    <t xml:space="preserve">RUO kit onboarding/support</t>
  </si>
  <si>
    <t xml:space="preserve">C6</t>
  </si>
  <si>
    <t xml:space="preserve">Injection-mould tooling for Scenario C (one-off)</t>
  </si>
  <si>
    <t xml:space="preserve">Needs tooling quote — fixed cost, excluded from unit COGS</t>
  </si>
  <si>
    <t xml:space="preserve">U1</t>
  </si>
  <si>
    <t xml:space="preserve">ParkinSense subscriber monthly churn</t>
  </si>
  <si>
    <t xml:space="preserve">%/month</t>
  </si>
  <si>
    <t xml:space="preserve">No subscriber data</t>
  </si>
  <si>
    <t xml:space="preserve">U2</t>
  </si>
  <si>
    <t xml:space="preserve">TremoSense repeat purchase at end of life</t>
  </si>
  <si>
    <t xml:space="preserve">U3</t>
  </si>
  <si>
    <t xml:space="preserve">ParkinSense D2C CAC</t>
  </si>
  <si>
    <t xml:space="preserve">No paid-acquisition data</t>
  </si>
  <si>
    <t xml:space="preserve">U4</t>
  </si>
  <si>
    <t xml:space="preserve">Subscription attach rate (ParkinSense)</t>
  </si>
  <si>
    <t xml:space="preserve">Share of buyers who subscribe</t>
  </si>
  <si>
    <t xml:space="preserve">F1</t>
  </si>
  <si>
    <t xml:space="preserve">Contingency on costs</t>
  </si>
  <si>
    <t xml:space="preserve">Policy</t>
  </si>
  <si>
    <t xml:space="preserve">F2</t>
  </si>
  <si>
    <t xml:space="preserve">Buffer on peak funding gap</t>
  </si>
  <si>
    <t xml:space="preserve">Covers ~2–3 months' delay</t>
  </si>
  <si>
    <t xml:space="preserve">F3</t>
  </si>
  <si>
    <t xml:space="preserve">SISFS proof-of-concept grant — APPLIED, NOT SECURED</t>
  </si>
  <si>
    <t xml:space="preserve">Applied</t>
  </si>
  <si>
    <t xml:space="preserve">Startup India Seed Fund Scheme cap ₹20 L, milestone-based (ClearTax)</t>
  </si>
  <si>
    <t xml:space="preserve">F4</t>
  </si>
  <si>
    <t xml:space="preserve">ESOP pool at pre-seed (% of post-money)</t>
  </si>
  <si>
    <t xml:space="preserve">Small pool now; top-up at seed round</t>
  </si>
  <si>
    <t xml:space="preserve">F5</t>
  </si>
  <si>
    <t xml:space="preserve">Loaded engineering cost per person-month</t>
  </si>
  <si>
    <t xml:space="preserve">Cost-to-duplicate rate (≈₹15 LPA CTC) — assumption</t>
  </si>
  <si>
    <t xml:space="preserve">F6</t>
  </si>
  <si>
    <t xml:space="preserve">USD/INR</t>
  </si>
  <si>
    <t xml:space="preserve">₹/$</t>
  </si>
  <si>
    <t xml:space="preserve">Traders Union, 12 Oct 2026</t>
  </si>
  <si>
    <t xml:space="preserve">F7</t>
  </si>
  <si>
    <t xml:space="preserve">Target investor dilution — low</t>
  </si>
  <si>
    <t xml:space="preserve">Target</t>
  </si>
  <si>
    <t xml:space="preserve">Founders' goal</t>
  </si>
  <si>
    <t xml:space="preserve">F8</t>
  </si>
  <si>
    <t xml:space="preserve">Target investor dilution — high</t>
  </si>
  <si>
    <t xml:space="preserve">F9</t>
  </si>
  <si>
    <t xml:space="preserve">Grant receipt month (if awarded)</t>
  </si>
  <si>
    <t xml:space="preserve">month #</t>
  </si>
  <si>
    <t xml:space="preserve">F10</t>
  </si>
  <si>
    <t xml:space="preserve">PROPOSED pre-money — working negotiation target</t>
  </si>
  <si>
    <t xml:space="preserve">Founders' ask; above the cost floor and Berkus cross-check; NOT an independently established valuation</t>
  </si>
  <si>
    <t xml:space="preserve">F11</t>
  </si>
  <si>
    <t xml:space="preserve">Conservative pre-money alternative</t>
  </si>
  <si>
    <t xml:space="preserve">≈ Berkus-style scorecard result</t>
  </si>
  <si>
    <t xml:space="preserve">F12</t>
  </si>
  <si>
    <t xml:space="preserve">Ambitious pre-money alternative</t>
  </si>
  <si>
    <t xml:space="preserve">Only if the premium can be substantiated</t>
  </si>
  <si>
    <t xml:space="preserve">S1</t>
  </si>
  <si>
    <t xml:space="preserve">Steady-state TremoSense units/month (M15–M18)</t>
  </si>
  <si>
    <t xml:space="preserve">units</t>
  </si>
  <si>
    <t xml:space="preserve">Plan</t>
  </si>
  <si>
    <t xml:space="preserve">TremoSense unit cost — three scenarios (₹ per unit)</t>
  </si>
  <si>
    <t xml:space="preserve">Line</t>
  </si>
  <si>
    <t xml:space="preserve">A · Prototype / very low volume (1–20)</t>
  </si>
  <si>
    <t xml:space="preserve">B · Small batch (100–500)</t>
  </si>
  <si>
    <t xml:space="preserve">C · Scaled, after verified reductions (≥1,000)</t>
  </si>
  <si>
    <t xml:space="preserve">Evidence</t>
  </si>
  <si>
    <t xml:space="preserve">MCU + IMU (XIAO nRF52840 Sense → bare module in C)</t>
  </si>
  <si>
    <t xml:space="preserve">A/B: Seeed list $15.90 / $13.90 (10+) — DOCUMENTED. C: bare nRF52840 module + LSM6DS3 on custom PCB — ESTIMATE, needs quote</t>
  </si>
  <si>
    <t xml:space="preserve">Servos ×2 (MG92B → direct-sourced micro servos in C)</t>
  </si>
  <si>
    <t xml:space="preserve">A: UK retail £8 each (The Pi Hut) ≈ ₹800 — DOCUMENTED reference; B/C: ESTIMATE, needs supplier quote</t>
  </si>
  <si>
    <t xml:space="preserve">Power: XL6009 boost converter + 1250 mAh LiPo</t>
  </si>
  <si>
    <t xml:space="preserve">ESTIMATE — replace with receipts / quotes</t>
  </si>
  <si>
    <t xml:space="preserve">Interconnect: 1500 µF capacitor, wiring, connectors (→ carrier PCB in B → integrated PCBA in C)</t>
  </si>
  <si>
    <t xml:space="preserve">C includes PCB fab + SMT assembly — ESTIMATE, needs quote</t>
  </si>
  <si>
    <t xml:space="preserve">Enclosure, gimbal &amp; food-safe spoon head</t>
  </si>
  <si>
    <t xml:space="preserve">A: filament only; B: printed + finished; C: moulded part (tooling in Assumptions C6, not in unit cost)</t>
  </si>
  <si>
    <t xml:space="preserve">Assembly labour</t>
  </si>
  <si>
    <t xml:space="preserve">A: ~2 h; B: ~1.5 h; C: line assembly — ESTIMATE</t>
  </si>
  <si>
    <t xml:space="preserve">Testing &amp; quality control</t>
  </si>
  <si>
    <t xml:space="preserve">Bench check on tremor simulator + burn-in — ESTIMATE</t>
  </si>
  <si>
    <t xml:space="preserve">Packaging + manual</t>
  </si>
  <si>
    <t xml:space="preserve">ESTIMATE</t>
  </si>
  <si>
    <t xml:space="preserve">Unit COGS</t>
  </si>
  <si>
    <t xml:space="preserve">  of which electronics + PCB (the '₹2,000 target' line)</t>
  </si>
  <si>
    <t xml:space="preserve">Today's prototype parts ≈₹4,060 (A, rows 4–8 excl. labour). ₹2,000 is the C electronics TARGET — not today's cost.</t>
  </si>
  <si>
    <t xml:space="preserve">Prototype parts only (A rows 4–8)</t>
  </si>
  <si>
    <t xml:space="preserve">Economics: A and B at the ₹9,999 launch price; C at the ₹8,999 plan price from M19</t>
  </si>
  <si>
    <t xml:space="preserve">Retail price incl. GST</t>
  </si>
  <si>
    <t xml:space="preserve">Price ex-GST</t>
  </si>
  <si>
    <t xml:space="preserve">Channel margin (clinic / OT)</t>
  </si>
  <si>
    <t xml:space="preserve">Net revenue to AVERRA</t>
  </si>
  <si>
    <t xml:space="preserve">Warranty reserve</t>
  </si>
  <si>
    <t xml:space="preserve">Scenario A carries an 8% warranty reserve (lower reliability).</t>
  </si>
  <si>
    <t xml:space="preserve">Fulfilment</t>
  </si>
  <si>
    <t xml:space="preserve">Contribution per unit</t>
  </si>
  <si>
    <t xml:space="preserve">Contribution margin (of net revenue)</t>
  </si>
  <si>
    <t xml:space="preserve">Break-even units / month vs steady-state fixed costs</t>
  </si>
  <si>
    <t xml:space="preserve">Fixed costs = Year-3 average monthly fixed costs (Forecast!C81).</t>
  </si>
  <si>
    <t xml:space="preserve">Gross margin = (net revenue − COGS) ÷ net revenue</t>
  </si>
  <si>
    <t xml:space="preserve">Gross margin excludes warranty and fulfilment; contribution margin (row 25) includes them.</t>
  </si>
  <si>
    <t xml:space="preserve">TremoSense — contribution per unit by price × cost scenario (clinic channel)</t>
  </si>
  <si>
    <t xml:space="preserve">Retail price (incl. GST)</t>
  </si>
  <si>
    <t xml:space="preserve">A · contribution</t>
  </si>
  <si>
    <t xml:space="preserve">A · margin</t>
  </si>
  <si>
    <t xml:space="preserve">B · contribution</t>
  </si>
  <si>
    <t xml:space="preserve">B · margin</t>
  </si>
  <si>
    <t xml:space="preserve">C · contribution</t>
  </si>
  <si>
    <t xml:space="preserve">C · margin</t>
  </si>
  <si>
    <t xml:space="preserve">Verdict</t>
  </si>
  <si>
    <t xml:space="preserve">Recommendation</t>
  </si>
  <si>
    <t xml:space="preserve">Launch at ₹9,999 (≥30% margin at B). Do not price below ₹8,999 until Scenario C cost is verified by quotes. Move to ₹6,999 only after that.</t>
  </si>
  <si>
    <t xml:space="preserve">Channel options at the launch price (Scenario B cost) — none validated yet</t>
  </si>
  <si>
    <t xml:space="preserve">Channel</t>
  </si>
  <si>
    <t xml:space="preserve">Net revenue / unit</t>
  </si>
  <si>
    <t xml:space="preserve">Contribution / unit</t>
  </si>
  <si>
    <t xml:space="preserve">Margin</t>
  </si>
  <si>
    <t xml:space="preserve">Notes</t>
  </si>
  <si>
    <t xml:space="preserve">Direct online</t>
  </si>
  <si>
    <t xml:space="preserve">No channel margin; pays its own CAC</t>
  </si>
  <si>
    <t xml:space="preserve">Clinic partnership</t>
  </si>
  <si>
    <t xml:space="preserve">15% margin to clinic</t>
  </si>
  <si>
    <t xml:space="preserve">Occupational-therapy centres</t>
  </si>
  <si>
    <t xml:space="preserve">Same terms as clinics</t>
  </si>
  <si>
    <t xml:space="preserve">Institutional procurement</t>
  </si>
  <si>
    <t xml:space="preserve">10% discount, 60-day terms</t>
  </si>
  <si>
    <t xml:space="preserve">No-cost EMI (direct)</t>
  </si>
  <si>
    <t xml:space="preserve">Subvention borne by AVERRA</t>
  </si>
  <si>
    <t xml:space="preserve">Rental via OT clinic (Scenario B device)</t>
  </si>
  <si>
    <t xml:space="preserve">Net monthly rental to AVERRA</t>
  </si>
  <si>
    <t xml:space="preserve">Months to recover device cost + two-way fulfilment</t>
  </si>
  <si>
    <t xml:space="preserve">After this, rental is contribution; refurbishment between renters not yet costed</t>
  </si>
  <si>
    <t xml:space="preserve">Unit economics — estimates, no customers yet</t>
  </si>
  <si>
    <t xml:space="preserve">TremoSense (launch, Scenario B)</t>
  </si>
  <si>
    <t xml:space="preserve">ParkinSense wearable</t>
  </si>
  <si>
    <t xml:space="preserve">ParkinSense subscription (/month)</t>
  </si>
  <si>
    <t xml:space="preserve">ParkinSense RUO kit</t>
  </si>
  <si>
    <t xml:space="preserve">Price incl. GST</t>
  </si>
  <si>
    <t xml:space="preserve">Channel / marketplace</t>
  </si>
  <si>
    <t xml:space="preserve">Net revenue</t>
  </si>
  <si>
    <t xml:space="preserve">COGS / service cost</t>
  </si>
  <si>
    <t xml:space="preserve">Warranty</t>
  </si>
  <si>
    <t xml:space="preserve">Contribution</t>
  </si>
  <si>
    <t xml:space="preserve">Contribution margin</t>
  </si>
  <si>
    <t xml:space="preserve">Gross margin (before warranty &amp; fulfilment)</t>
  </si>
  <si>
    <t xml:space="preserve">CAC / LTV / payback</t>
  </si>
  <si>
    <t xml:space="preserve">Metric</t>
  </si>
  <si>
    <t xml:space="preserve">TremoSense</t>
  </si>
  <si>
    <t xml:space="preserve">ParkinSense (wearable buyer)</t>
  </si>
  <si>
    <t xml:space="preserve">Basis</t>
  </si>
  <si>
    <t xml:space="preserve">CAC</t>
  </si>
  <si>
    <t xml:space="preserve">TremoSense: M12–M36 outreach + sales-lead spend ÷ units sold (plan). ParkinSense: assumption U3</t>
  </si>
  <si>
    <t xml:space="preserve">Subscriber lifetime (months)</t>
  </si>
  <si>
    <t xml:space="preserve">1 ÷ churn</t>
  </si>
  <si>
    <t xml:space="preserve">LTV (contribution, undiscounted)</t>
  </si>
  <si>
    <t xml:space="preserve">TremoSense: first sale + 40% repurchase. ParkinSense: device + attach × subscription × lifetime</t>
  </si>
  <si>
    <t xml:space="preserve">LTV : CAC</t>
  </si>
  <si>
    <t xml:space="preserve">Target ≥3×</t>
  </si>
  <si>
    <t xml:space="preserve">Payback (months)</t>
  </si>
  <si>
    <t xml:space="preserve">Months of contribution to recover CAC</t>
  </si>
  <si>
    <t xml:space="preserve">Bottom-up TAM / SAM / SOM — India beachhead segments</t>
  </si>
  <si>
    <t xml:space="preserve">ParkinSense (movement-insight segment)</t>
  </si>
  <si>
    <t xml:space="preserve">Formula / note</t>
  </si>
  <si>
    <t xml:space="preserve">ParkinSense — general wearable (upside)</t>
  </si>
  <si>
    <t xml:space="preserve">Implied total population</t>
  </si>
  <si>
    <t xml:space="preserve">60+ count ÷ 60+ share</t>
  </si>
  <si>
    <t xml:space="preserve">People with PD aged 60+</t>
  </si>
  <si>
    <t xml:space="preserve">GBD-based cross-check ≈5.76 lakh all ages</t>
  </si>
  <si>
    <t xml:space="preserve">People with essential tremor</t>
  </si>
  <si>
    <t xml:space="preserve">TremoSense only</t>
  </si>
  <si>
    <t xml:space="preserve">TAM customers</t>
  </si>
  <si>
    <t xml:space="preserve">ParkinSense beachhead = PD households seeking movement insights; general wellness market NOT sized (no sourced Indian figure)</t>
  </si>
  <si>
    <t xml:space="preserve">Annual revenue per customer (ex-GST)</t>
  </si>
  <si>
    <t xml:space="preserve">Device ÷ life (+ attach × 12 months subscription)</t>
  </si>
  <si>
    <t xml:space="preserve">TAM (₹/year)</t>
  </si>
  <si>
    <t xml:space="preserve">SAM customers (urban × under follow-up)</t>
  </si>
  <si>
    <t xml:space="preserve">SAM (₹/year)</t>
  </si>
  <si>
    <t xml:space="preserve">SOM: partner clinics (Mumbai + Pune, Year 3)</t>
  </si>
  <si>
    <t xml:space="preserve">SOM: new customers per clinic per month</t>
  </si>
  <si>
    <t xml:space="preserve">SOM: online / OT channel per month</t>
  </si>
  <si>
    <t xml:space="preserve">Plan (ParkinSense online covers the broader wellness audience)</t>
  </si>
  <si>
    <t xml:space="preserve">SOM customers (Year 3, annual)</t>
  </si>
  <si>
    <t xml:space="preserve">Channel capacity</t>
  </si>
  <si>
    <t xml:space="preserve">SOM (₹/year)</t>
  </si>
  <si>
    <t xml:space="preserve">SOM % of SAM</t>
  </si>
  <si>
    <t xml:space="preserve">Not added to company totals or the forecast</t>
  </si>
  <si>
    <t xml:space="preserve">Company TAM (₹/year)</t>
  </si>
  <si>
    <t xml:space="preserve">Company SAM (₹/year)</t>
  </si>
  <si>
    <t xml:space="preserve">Company SOM (₹/year)</t>
  </si>
  <si>
    <t xml:space="preserve">Revenues add across products; customer counts are never summed (a PD household may buy both).</t>
  </si>
  <si>
    <t xml:space="preserve">ParkinSense as a general wearable — inputs (upside view, not in plan totals)</t>
  </si>
  <si>
    <t xml:space="preserve">India smartwatch buyers per year (IDC, 2024)</t>
  </si>
  <si>
    <t xml:space="preserve">IDC India: 35.0M smartwatches shipped in 2024 (total wearables 119.0M)</t>
  </si>
  <si>
    <t xml:space="preserve">Advanced / premium smartwatch share (IDC, 2024)</t>
  </si>
  <si>
    <t xml:space="preserve">IDC: advanced smartwatches 2.8% of units; proxy for buyers at ParkinSense's price point</t>
  </si>
  <si>
    <t xml:space="preserve">SOM share of SAM customers (Year 3)</t>
  </si>
  <si>
    <t xml:space="preserve">ASSUMPTION: 0.25% of premium buyers via online channel</t>
  </si>
  <si>
    <t xml:space="preserve">General-wearable SOM range (Year 3, upside only)</t>
  </si>
  <si>
    <t xml:space="preserve">Case</t>
  </si>
  <si>
    <t xml:space="preserve">SOM share of SAM buyers</t>
  </si>
  <si>
    <t xml:space="preserve">Customers / year</t>
  </si>
  <si>
    <t xml:space="preserve">Plan case</t>
  </si>
  <si>
    <t xml:space="preserve">Upside: marketing works</t>
  </si>
  <si>
    <t xml:space="preserve">Strong upside</t>
  </si>
  <si>
    <t xml:space="preserve">Monthly cash plan — Phase 1 PROVE (M1–M6) → Phase 2 LAUNCH (M7–M18) → SCALE (M19–M36). M1 = July 2027</t>
  </si>
  <si>
    <t xml:space="preserve">Line (₹)</t>
  </si>
  <si>
    <t xml:space="preserve">Product</t>
  </si>
  <si>
    <t xml:space="preserve">Phase</t>
  </si>
  <si>
    <t xml:space="preserve">M1
Jul-27</t>
  </si>
  <si>
    <t xml:space="preserve">M2
Aug-27</t>
  </si>
  <si>
    <t xml:space="preserve">M3
Sep-27</t>
  </si>
  <si>
    <t xml:space="preserve">M4
Oct-27</t>
  </si>
  <si>
    <t xml:space="preserve">M5
Nov-27</t>
  </si>
  <si>
    <t xml:space="preserve">M6
Dec-27</t>
  </si>
  <si>
    <t xml:space="preserve">M7
Jan-28</t>
  </si>
  <si>
    <t xml:space="preserve">M8
Feb-28</t>
  </si>
  <si>
    <t xml:space="preserve">M9
Mar-28</t>
  </si>
  <si>
    <t xml:space="preserve">M10
Apr-28</t>
  </si>
  <si>
    <t xml:space="preserve">M11
May-28</t>
  </si>
  <si>
    <t xml:space="preserve">M12
Jun-28</t>
  </si>
  <si>
    <t xml:space="preserve">M13
Jul-28</t>
  </si>
  <si>
    <t xml:space="preserve">M14
Aug-28</t>
  </si>
  <si>
    <t xml:space="preserve">M15
Sep-28</t>
  </si>
  <si>
    <t xml:space="preserve">M16
Oct-28</t>
  </si>
  <si>
    <t xml:space="preserve">M17
Nov-28</t>
  </si>
  <si>
    <t xml:space="preserve">M18
Dec-28</t>
  </si>
  <si>
    <t xml:space="preserve">M19
Jan-29</t>
  </si>
  <si>
    <t xml:space="preserve">M20
Feb-29</t>
  </si>
  <si>
    <t xml:space="preserve">M21
Mar-29</t>
  </si>
  <si>
    <t xml:space="preserve">M22
Apr-29</t>
  </si>
  <si>
    <t xml:space="preserve">M23
May-29</t>
  </si>
  <si>
    <t xml:space="preserve">M24
Jun-29</t>
  </si>
  <si>
    <t xml:space="preserve">M25
Jul-29</t>
  </si>
  <si>
    <t xml:space="preserve">M26
Aug-29</t>
  </si>
  <si>
    <t xml:space="preserve">M27
Sep-29</t>
  </si>
  <si>
    <t xml:space="preserve">M28
Oct-29</t>
  </si>
  <si>
    <t xml:space="preserve">M29
Nov-29</t>
  </si>
  <si>
    <t xml:space="preserve">M30
Dec-29</t>
  </si>
  <si>
    <t xml:space="preserve">M31
Jan-30</t>
  </si>
  <si>
    <t xml:space="preserve">M32
Feb-30</t>
  </si>
  <si>
    <t xml:space="preserve">M33
Mar-30</t>
  </si>
  <si>
    <t xml:space="preserve">M34
Apr-30</t>
  </si>
  <si>
    <t xml:space="preserve">M35
May-30</t>
  </si>
  <si>
    <t xml:space="preserve">M36
Jun-30</t>
  </si>
  <si>
    <t xml:space="preserve">Year 1</t>
  </si>
  <si>
    <t xml:space="preserve">Phase 1 (M1–6)</t>
  </si>
  <si>
    <t xml:space="preserve">Phase 2 (M7–18)</t>
  </si>
  <si>
    <t xml:space="preserve">Year 2</t>
  </si>
  <si>
    <t xml:space="preserve">Year 3</t>
  </si>
  <si>
    <t xml:space="preserve">Founder stipends (2×₹15k Phase 1 · 2×₹30k M7–24 · 2×₹45k Y3)</t>
  </si>
  <si>
    <t xml:space="preserve">Shared</t>
  </si>
  <si>
    <t xml:space="preserve">Industrial design contractor</t>
  </si>
  <si>
    <t xml:space="preserve">TS acquisition spend M12–M36</t>
  </si>
  <si>
    <t xml:space="preserve">Prototyping materials</t>
  </si>
  <si>
    <t xml:space="preserve">TS units M12–M36</t>
  </si>
  <si>
    <t xml:space="preserve">Tools, cloud, software</t>
  </si>
  <si>
    <t xml:space="preserve">Legal, accounting, admin</t>
  </si>
  <si>
    <t xml:space="preserve">Patent: attorney + filing fees</t>
  </si>
  <si>
    <t xml:space="preserve">TremoSense study units (12 × Scenario A cost)</t>
  </si>
  <si>
    <t xml:space="preserve">TremoSense ethics approval + user study (n ≥ 10)</t>
  </si>
  <si>
    <t xml:space="preserve">Regulatory: classification opinion + CDSCO filing</t>
  </si>
  <si>
    <t xml:space="preserve">Reference instruments (ECG strap, pulse oximeter, pedometer)</t>
  </si>
  <si>
    <t xml:space="preserve">ParkinSense</t>
  </si>
  <si>
    <t xml:space="preserve">ParkinSense bench accuracy study</t>
  </si>
  <si>
    <t xml:space="preserve">ParkinSense RUO kit devices (5 × COGS per kit sold)</t>
  </si>
  <si>
    <t xml:space="preserve">Hardware &amp; test engineering (done by the founders, no hire)</t>
  </si>
  <si>
    <t xml:space="preserve">ISO 13485 QMS set-up + surveillance audits</t>
  </si>
  <si>
    <t xml:space="preserve">Electrical safety / EMC pre-compliance</t>
  </si>
  <si>
    <t xml:space="preserve">TremoSense pilot batch (100 × Scenario B cost)</t>
  </si>
  <si>
    <t xml:space="preserve">TremoSense restock (units × B cost to M18, × verified C cost from M19)</t>
  </si>
  <si>
    <t xml:space="preserve">Clinic &amp; OT outreach / marketing (TremoSense)</t>
  </si>
  <si>
    <t xml:space="preserve">ParkinSense wellness research pilot (incl. clinical-evaluation support)</t>
  </si>
  <si>
    <t xml:space="preserve">Customer support &amp; operations hire</t>
  </si>
  <si>
    <t xml:space="preserve">Clinic-network sales lead</t>
  </si>
  <si>
    <t xml:space="preserve">App &amp; firmware engineer</t>
  </si>
  <si>
    <t xml:space="preserve">Injection-mould tooling (Scenario C)</t>
  </si>
  <si>
    <t xml:space="preserve">ParkinSense wellness device inventory (units × COGS)</t>
  </si>
  <si>
    <t xml:space="preserve">ParkinSense D2C acquisition (units × CAC)</t>
  </si>
  <si>
    <t xml:space="preserve">ParkinSense subscription cloud cost (subscribers × cost)</t>
  </si>
  <si>
    <t xml:space="preserve">Subtotal</t>
  </si>
  <si>
    <t xml:space="preserve">Contingency</t>
  </si>
  <si>
    <t xml:space="preserve">TOTAL CASH COSTS</t>
  </si>
  <si>
    <t xml:space="preserve">TremoSense units sold</t>
  </si>
  <si>
    <t xml:space="preserve">TremoSense cash per unit (launch price to M18, post-cost price from M19)</t>
  </si>
  <si>
    <t xml:space="preserve">Cash in — TremoSense</t>
  </si>
  <si>
    <t xml:space="preserve">ParkinSense RUO kits sold</t>
  </si>
  <si>
    <t xml:space="preserve">Cash in — ParkinSense RUO kits</t>
  </si>
  <si>
    <t xml:space="preserve">ParkinSense wellness units sold (launch M25, after wellness beta)</t>
  </si>
  <si>
    <t xml:space="preserve">Cash in — ParkinSense devices</t>
  </si>
  <si>
    <t xml:space="preserve">ParkinSense active subscribers</t>
  </si>
  <si>
    <t xml:space="preserve">Cash in — ParkinSense subscriptions</t>
  </si>
  <si>
    <t xml:space="preserve">TOTAL CASH IN</t>
  </si>
  <si>
    <t xml:space="preserve">NET OPERATING CASH FLOW (operating profit, cash basis)</t>
  </si>
  <si>
    <t xml:space="preserve">Cumulative operating cash flow</t>
  </si>
  <si>
    <t xml:space="preserve">Sustained break-even flag (all later months ≥ 0)</t>
  </si>
  <si>
    <t xml:space="preserve">Closing cash — Scenario A</t>
  </si>
  <si>
    <t xml:space="preserve">Closing cash — Scenario B</t>
  </si>
  <si>
    <t xml:space="preserve">Closing cash — Scenario C</t>
  </si>
  <si>
    <t xml:space="preserve">Closing cash — Scenario D</t>
  </si>
  <si>
    <t xml:space="preserve">Cash-negative flag — Scenario A</t>
  </si>
  <si>
    <t xml:space="preserve">Cash-negative flag — Scenario B</t>
  </si>
  <si>
    <t xml:space="preserve">Cash-negative flag — Scenario C</t>
  </si>
  <si>
    <t xml:space="preserve">Cash-negative flag — Scenario D</t>
  </si>
  <si>
    <t xml:space="preserve">Headline metrics</t>
  </si>
  <si>
    <t xml:space="preserve">Year-1 total cash costs</t>
  </si>
  <si>
    <t xml:space="preserve">Year-1 cash in</t>
  </si>
  <si>
    <t xml:space="preserve">Average monthly gross burn (Year 1)</t>
  </si>
  <si>
    <t xml:space="preserve">Average monthly net burn (Year 1)</t>
  </si>
  <si>
    <t xml:space="preserve">Phase 1 (M1–M6) cash costs</t>
  </si>
  <si>
    <t xml:space="preserve">Peak cumulative gap, Phase 1 (M1–M6)</t>
  </si>
  <si>
    <t xml:space="preserve">Peak cumulative gap to profitability (M1–M36)</t>
  </si>
  <si>
    <t xml:space="preserve">Month of peak gap</t>
  </si>
  <si>
    <t xml:space="preserve">Funding requirement to profitability (gap × (1 + buffer))</t>
  </si>
  <si>
    <t xml:space="preserve">Phase-1 funding requirement (gap × (1 + buffer))</t>
  </si>
  <si>
    <t xml:space="preserve">Additional requirement after Milestone 1</t>
  </si>
  <si>
    <t xml:space="preserve">Sustained operating break-even month</t>
  </si>
  <si>
    <t xml:space="preserve">Year-2 cash in</t>
  </si>
  <si>
    <t xml:space="preserve">Year-2 operating cash flow</t>
  </si>
  <si>
    <t xml:space="preserve">Year-3 cash in</t>
  </si>
  <si>
    <t xml:space="preserve">Year-3 operating profit (cash basis)</t>
  </si>
  <si>
    <t xml:space="preserve">Year-3 operating margin</t>
  </si>
  <si>
    <t xml:space="preserve">Exit run-rate: M36 operating profit</t>
  </si>
  <si>
    <t xml:space="preserve">M1–M12 costs before contingency — Shared</t>
  </si>
  <si>
    <t xml:space="preserve">M1–M12 costs before contingency — TremoSense</t>
  </si>
  <si>
    <t xml:space="preserve">M1–M12 costs before contingency — ParkinSense</t>
  </si>
  <si>
    <t xml:space="preserve">Year-3 monthly fixed costs (avg, excl. inventory &amp; PS acquisition)</t>
  </si>
  <si>
    <t xml:space="preserve">Year-1 average monthly fixed costs (M7–M12, excl. inventory)</t>
  </si>
  <si>
    <t xml:space="preserve">Pre-money valuation — cost-to-duplicate (a floor, not a market price)</t>
  </si>
  <si>
    <t xml:space="preserve">Workstream</t>
  </si>
  <si>
    <t xml:space="preserve">Person-months</t>
  </si>
  <si>
    <t xml:space="preserve">Berkus-style scorecard (cross-check)</t>
  </si>
  <si>
    <t xml:space="preserve">ParkinSense: firmware v1–v4, BLE protocol, enclosure, power profiling</t>
  </si>
  <si>
    <t xml:space="preserve">firmware/ (6 sketches), PPK II measurement, 3D-printed housing</t>
  </si>
  <si>
    <t xml:space="preserve">Sound idea (product risk)</t>
  </si>
  <si>
    <t xml:space="preserve">Sourced need; two products; no interviews yet</t>
  </si>
  <si>
    <t xml:space="preserve">ParkinSense: motion / PPG / step pipelines, runtime, dashboards, app work, bench tests, paper</t>
  </si>
  <si>
    <t xml:space="preserve">dashboard/python (~60 modules), reference recordings, paper</t>
  </si>
  <si>
    <t xml:space="preserve">Prototype (technology risk)</t>
  </si>
  <si>
    <t xml:space="preserve">Two working prototypes with measured bench results</t>
  </si>
  <si>
    <t xml:space="preserve">TremoSense: EKF/LQR modelling, Simulink sweeps, Zephyr firmware, gimbal &amp; power hardware, bench tests, paper</t>
  </si>
  <si>
    <t xml:space="preserve">MATLAB_Simulink/, tremosense-app/, paper Table IV</t>
  </si>
  <si>
    <t xml:space="preserve">Quality team (execution risk)</t>
  </si>
  <si>
    <t xml:space="preserve">Strong technical record and papers; no commercial track record</t>
  </si>
  <si>
    <t xml:space="preserve">Total person-months</t>
  </si>
  <si>
    <t xml:space="preserve">Strategic relationships (market risk)</t>
  </si>
  <si>
    <t xml:space="preserve">ICMR evaluation in progress (founder-reported); no clinic partners yet</t>
  </si>
  <si>
    <t xml:space="preserve">Loaded rate</t>
  </si>
  <si>
    <t xml:space="preserve">Product rollout / sales (production risk)</t>
  </si>
  <si>
    <t xml:space="preserve">Costed BOM and pricing; no sales</t>
  </si>
  <si>
    <t xml:space="preserve">Prototype materials, rigs, instruments already spent (estimate)</t>
  </si>
  <si>
    <t xml:space="preserve">Berkus-style total (max ₹20 L per factor)</t>
  </si>
  <si>
    <t xml:space="preserve">PRE-MONEY P0 = person-months × rate + materials</t>
  </si>
  <si>
    <t xml:space="preserve">Excludes unfiled IP, brand, market. Replace person-months with logged hours.</t>
  </si>
  <si>
    <t xml:space="preserve">PROPOSED pre-money (negotiation target)</t>
  </si>
  <si>
    <t xml:space="preserve">Premium over Berkus cross-check:</t>
  </si>
  <si>
    <t xml:space="preserve">Valuation required to hit a dilution target (no ESOP): P = I × (1 − d) ÷ d</t>
  </si>
  <si>
    <t xml:space="preserve">Equity raised I</t>
  </si>
  <si>
    <t xml:space="preserve">P needed for 15%</t>
  </si>
  <si>
    <t xml:space="preserve">P needed for 20%</t>
  </si>
  <si>
    <t xml:space="preserve">Dilution at proposed P</t>
  </si>
  <si>
    <t xml:space="preserve">Assessment</t>
  </si>
  <si>
    <t xml:space="preserve">Rows: Scenario A, B, C (tranche 1), D (tranche 1).</t>
  </si>
  <si>
    <t xml:space="preserve">Milestone-1 round at each pre-money option (equity = Scenario C)</t>
  </si>
  <si>
    <t xml:space="preserve">Pre-money</t>
  </si>
  <si>
    <t xml:space="preserve">Investor %</t>
  </si>
  <si>
    <t xml:space="preserve">Founders % (after ESOP)</t>
  </si>
  <si>
    <t xml:space="preserve">Floor: cost-to-duplicate</t>
  </si>
  <si>
    <t xml:space="preserve">Conservative ≈ Berkus cross-check</t>
  </si>
  <si>
    <t xml:space="preserve">PROPOSED working target</t>
  </si>
  <si>
    <t xml:space="preserve">Ambitious — only if substantiated</t>
  </si>
  <si>
    <t xml:space="preserve">Funding scenarios — grant kept separate from equity; grant is APPLIED, NOT SECURED</t>
  </si>
  <si>
    <t xml:space="preserve">A · Grant secured, full plan</t>
  </si>
  <si>
    <t xml:space="preserve">B · Grant refused, full plan</t>
  </si>
  <si>
    <t xml:space="preserve">C · Smaller round to Milestone 1</t>
  </si>
  <si>
    <t xml:space="preserve">D · Staged: tranche 1 now, tranche 2 at milestone</t>
  </si>
  <si>
    <t xml:space="preserve">Capital requirement covered by this round</t>
  </si>
  <si>
    <t xml:space="preserve">Grant status</t>
  </si>
  <si>
    <t xml:space="preserve">Awarded (assumed in this scenario only)</t>
  </si>
  <si>
    <t xml:space="preserve">Refused</t>
  </si>
  <si>
    <t xml:space="preserve">Not assumed</t>
  </si>
  <si>
    <t xml:space="preserve">Applied; counted only if awarded</t>
  </si>
  <si>
    <t xml:space="preserve">Grant counted</t>
  </si>
  <si>
    <t xml:space="preserve">Equity required now (I)</t>
  </si>
  <si>
    <t xml:space="preserve">Pre-money (proposed working target; floor in Valuation!B10)</t>
  </si>
  <si>
    <t xml:space="preserve">Post-money = P + I</t>
  </si>
  <si>
    <t xml:space="preserve">Investor ownership = I ÷ post-money</t>
  </si>
  <si>
    <t xml:space="preserve">ESOP pool</t>
  </si>
  <si>
    <t xml:space="preserve">Founders combined = 100% − investor − ESOP</t>
  </si>
  <si>
    <t xml:space="preserve">Runway funded</t>
  </si>
  <si>
    <t xml:space="preserve">To operating break-even + buffer</t>
  </si>
  <si>
    <t xml:space="preserve">M1–M6 + buffer (Milestone 1)</t>
  </si>
  <si>
    <t xml:space="preserve">M1–M6 now; rest to break-even from tranche 2 / grant</t>
  </si>
  <si>
    <t xml:space="preserve">Milestones reached with this money</t>
  </si>
  <si>
    <t xml:space="preserve">User study, QMS, EMC, CDSCO filing, TremoSense sales from M12, scale to break-even, ParkinSense wellness launch M25</t>
  </si>
  <si>
    <t xml:space="preserve">Same as A</t>
  </si>
  <si>
    <t xml:space="preserve">TremoSense design freeze + user study result (kill/continue), provisional patent, CDSCO classification opinion</t>
  </si>
  <si>
    <t xml:space="preserve">Tranche 1 = C; tranche 2 = rest of A</t>
  </si>
  <si>
    <t xml:space="preserve">Main risk / trade-off</t>
  </si>
  <si>
    <t xml:space="preserve">Grant may not arrive or may arrive late</t>
  </si>
  <si>
    <t xml:space="preserve">Highest dilution at a cost-floor price</t>
  </si>
  <si>
    <t xml:space="preserve">Must raise again in ~6 months</t>
  </si>
  <si>
    <t xml:space="preserve">Two raises; tranche 2 terms depend on results</t>
  </si>
  <si>
    <t xml:space="preserve">Zero-cash month (no further funding)</t>
  </si>
  <si>
    <t xml:space="preserve">Scenario D — tranche 2 (illustrative, priced at a cost-based floor)</t>
  </si>
  <si>
    <t xml:space="preserve">Tranche-2 need (to operating break-even)</t>
  </si>
  <si>
    <t xml:space="preserve">Less grant if awarded (shown: not awarded)</t>
  </si>
  <si>
    <t xml:space="preserve">Tranche-2 equity</t>
  </si>
  <si>
    <t xml:space="preserve">Tranche-2 pre-money floor = tranche-1 post-money + Phase-1 spend (cost basis of work done)</t>
  </si>
  <si>
    <t xml:space="preserve">Tranche-2 investor ownership</t>
  </si>
  <si>
    <t xml:space="preserve">Founders after both tranches (before any ESOP top-up)</t>
  </si>
  <si>
    <t xml:space="preserve">Investor total after both tranches</t>
  </si>
  <si>
    <t xml:space="preserve">Raise Scenario C now (Milestone 1 only) at the proposed ₹75 L pre-money (a negotiation target; floor ₹44.75 L cost-to-duplicate, Berkus cross-check ≈₹60 L). The rest of the path to operating break-even is raised only after the user study passes, priced on evidence. A grant, if awarded, reduces that later raise.</t>
  </si>
  <si>
    <t xml:space="preserve">Use of funds by category and phase (before contingency)</t>
  </si>
  <si>
    <t xml:space="preserve">Category</t>
  </si>
  <si>
    <t xml:space="preserve">Phase 1 (M1–M6)</t>
  </si>
  <si>
    <t xml:space="preserve">Phase 2 (M7–M18)</t>
  </si>
  <si>
    <t xml:space="preserve">Lines included</t>
  </si>
  <si>
    <t xml:space="preserve">Team</t>
  </si>
  <si>
    <t xml:space="preserve">stipends, design contractor, engineers, support, sales lead</t>
  </si>
  <si>
    <t xml:space="preserve">Validation (both products)</t>
  </si>
  <si>
    <t xml:space="preserve">TremoSense study units &amp; user study, PS instruments, accuracy study, wellness pilot / clinical-evaluation support</t>
  </si>
  <si>
    <t xml:space="preserve">Regulatory &amp; quality</t>
  </si>
  <si>
    <t xml:space="preserve">classification, CDSCO filing, QMS, EMC</t>
  </si>
  <si>
    <t xml:space="preserve">Inventory &amp; tooling</t>
  </si>
  <si>
    <t xml:space="preserve">RUO devices, pilot batch, restock, tooling, PS devices</t>
  </si>
  <si>
    <t xml:space="preserve">Prototyping, tools, IP</t>
  </si>
  <si>
    <t xml:space="preserve">materials, tools, patent</t>
  </si>
  <si>
    <t xml:space="preserve">Go-to-market &amp; admin</t>
  </si>
  <si>
    <t xml:space="preserve">outreach, legal/accounting, PS acquisition, cloud</t>
  </si>
  <si>
    <t xml:space="preserve">Total cash costs</t>
  </si>
  <si>
    <t xml:space="preserve">Check vs Forecast (must be 0)</t>
  </si>
  <si>
    <t xml:space="preserve">Competitor price benchmarks — checked 12 Oct 2026. Benchmarks only; they do not drive AVERRA revenue.</t>
  </si>
  <si>
    <t xml:space="preserve">Segment</t>
  </si>
  <si>
    <t xml:space="preserve">Listed price</t>
  </si>
  <si>
    <t xml:space="preserve">Currency</t>
  </si>
  <si>
    <t xml:space="preserve">₹ equivalent</t>
  </si>
  <si>
    <t xml:space="preserve">Recurring cost</t>
  </si>
  <si>
    <t xml:space="preserve">What it does</t>
  </si>
  <si>
    <t xml:space="preserve">Source</t>
  </si>
  <si>
    <t xml:space="preserve">Checked</t>
  </si>
  <si>
    <t xml:space="preserve">WHOOP One (WHOOP 5.0)</t>
  </si>
  <si>
    <t xml:space="preserve">Screenless band</t>
  </si>
  <si>
    <t xml:space="preserve">INR</t>
  </si>
  <si>
    <t xml:space="preserve">Price includes a 12-month membership (MRP ₹21,990); renews yearly</t>
  </si>
  <si>
    <t xml:space="preserve">Screenless strap; recovery, sleep, strain, HRV; 14+ day battery</t>
  </si>
  <si>
    <t xml:space="preserve">https://www.whoop.in/pages/whoop-devices</t>
  </si>
  <si>
    <t xml:space="preserve">12 Oct 2026</t>
  </si>
  <si>
    <t xml:space="preserve">Garmin Cirqa</t>
  </si>
  <si>
    <t xml:space="preserve">No subscription needed; Connect+ optional</t>
  </si>
  <si>
    <t xml:space="preserve">HR, HRV, Pulse Ox, sleep, VO2 max, skin temperature, 80+ activities; up to 10 days (launched in India 7 Oct 2026)</t>
  </si>
  <si>
    <t xml:space="preserve">https://www.businesstoday.in/technology/news/story/garmin-cirqa-launched-in-india-at-rs25990-this-screen-free-smart-band-can-track-80-activities-560058-2026-10-07</t>
  </si>
  <si>
    <t xml:space="preserve">Amazfit Helio Strap</t>
  </si>
  <si>
    <t xml:space="preserve">No subscription needed</t>
  </si>
  <si>
    <t xml:space="preserve">Continuous HR, sleep and recovery (BioCharge), 27 exercise modes; up to 10 days. Available from sellers at ₹12,000–15,000; official store lists ₹8,999 (MRP ₹17,999) but shows sold out (16 Oct 2026)</t>
  </si>
  <si>
    <t xml:space="preserve">https://in.amazfit.com/products/helio-strap</t>
  </si>
  <si>
    <t xml:space="preserve">Google Fitbit Air</t>
  </si>
  <si>
    <t xml:space="preserve">3-month Google Health Premium trial, then optional</t>
  </si>
  <si>
    <t xml:space="preserve">HR, HRV, SpO2, sleep stages, irregular-rhythm alerts; up to 7 days (India from 2 Oct 2026)</t>
  </si>
  <si>
    <t xml:space="preserve">https://www.freepressjournal.in/tech/google-fitbit-air-launched-in-india-at-13999-price-specifications</t>
  </si>
  <si>
    <t xml:space="preserve">GyroGlove</t>
  </si>
  <si>
    <t xml:space="preserve">Hand stabiliser (one hand)</t>
  </si>
  <si>
    <t xml:space="preserve">USD</t>
  </si>
  <si>
    <t xml:space="preserve">Or $246/month × 24</t>
  </si>
  <si>
    <t xml:space="preserve">Gyroscopic wrist stabiliser for the whole hand; 4 h continuous use; no clinical study cited on listing</t>
  </si>
  <si>
    <t xml:space="preserve">https://techguide.parkinsons.org.uk/catalogue/gyro-glove</t>
  </si>
  <si>
    <t xml:space="preserve">Imported active spoon (desertcart.in)</t>
  </si>
  <si>
    <t xml:space="preserve">Active stabilising utensil</t>
  </si>
  <si>
    <t xml:space="preserve">None listed</t>
  </si>
  <si>
    <t xml:space="preserve">Motorised stabilising spoon for essential tremor, imported; listing price in India (desertcart.in, checked 16 Oct 2026); similar listings ₹35,980 to ₹1,40,386</t>
  </si>
  <si>
    <t xml:space="preserve">https://www.desertcart.in/</t>
  </si>
  <si>
    <t xml:space="preserve">Weighted soup spoon (225 g)</t>
  </si>
  <si>
    <t xml:space="preserve">Passive adaptive utensil</t>
  </si>
  <si>
    <t xml:space="preserve">None</t>
  </si>
  <si>
    <t xml:space="preserve">Added mass damps tremor; no electronics. US retail; Indian prices not verified</t>
  </si>
  <si>
    <t xml:space="preserve">https://wellbefore.com/products/weighted-soup-spoon</t>
  </si>
  <si>
    <t xml:space="preserve">Steady Spoon (imported, desertcart.in)</t>
  </si>
  <si>
    <t xml:space="preserve">Stabilising spoon handle, imported; lowest active-spoon listing found in India (desertcart.in, checked 16 Oct 2026)</t>
  </si>
  <si>
    <t xml:space="preserve">AVERRA planned prices (to be tested with customers)</t>
  </si>
  <si>
    <t xml:space="preserve">TremoSense launch</t>
  </si>
  <si>
    <t xml:space="preserve">TremoSense vs GyroGlove (one glove)</t>
  </si>
  <si>
    <t xml:space="preserve">Different products: spoon stabiliser vs whole-hand glove — price context only</t>
  </si>
  <si>
    <t xml:space="preserve">Sources</t>
  </si>
  <si>
    <t xml:space="preserve">UNFPA India Ageing Report 2023 (149M aged 60+, 10.5%; 347M by 2050)</t>
  </si>
  <si>
    <t xml:space="preserve">https://www.thenationalnews.com/world/asia/2023/09/28/india-un-elderly-population/</t>
  </si>
  <si>
    <t xml:space="preserve">Khurana &amp; Gourie-Devi, Cureus 2025;17(3):e80248 — Indian PD community studies</t>
  </si>
  <si>
    <t xml:space="preserve">https://pmc.ncbi.nlm.nih.gov/articles/PMC11890171</t>
  </si>
  <si>
    <t xml:space="preserve">Chin et al., Mov Disord 2021 — ET in rural Gujarat</t>
  </si>
  <si>
    <t xml:space="preserve">https://www.mdsabstracts.org/abstract/prevalence-of-essential-tremors-in-rural-gujarat-india/</t>
  </si>
  <si>
    <t xml:space="preserve">BMJ 2025 — PD prevalence 25.2M by 2050</t>
  </si>
  <si>
    <t xml:space="preserve">https://bmjgroup.com/cases-of-parkinsons-disease-set-to-reach-25-million-worldwide-by-2050</t>
  </si>
  <si>
    <t xml:space="preserve">Michael J. Fox Foundation — Liftware $195 (Nov 2015)</t>
  </si>
  <si>
    <t xml:space="preserve">https://www.michaeljfox.org/news/stabilizing-spoon-announces-price-reduction-and-match-program-holidays</t>
  </si>
  <si>
    <t xml:space="preserve">Seeed Studio — XIAO nRF52840 Sense $15.90 / $13.90 (10+)</t>
  </si>
  <si>
    <t xml:space="preserve">https://www.seeedstudio.com/Seeed-XIAO-BLE-Sense-nRF52840-p-5253.html</t>
  </si>
  <si>
    <t xml:space="preserve">The Pi Hut — TowerPro MG92B £8</t>
  </si>
  <si>
    <t xml:space="preserve">https://thepihut.com/products/towerpro-servo-motor-mg92b-metal-gear</t>
  </si>
  <si>
    <t xml:space="preserve">Startup India Seed Fund Scheme — ₹20 L PoC grant (ClearTax)</t>
  </si>
  <si>
    <t xml:space="preserve">https://cleartax.in/s/startup-india-seed-fund-scheme</t>
  </si>
  <si>
    <t xml:space="preserve">BIRAC Biotechnology Ignition Grant — up to ₹50 L</t>
  </si>
  <si>
    <t xml:space="preserve">https://www.indiascienceandtechnology.gov.in/funding-opportunities/startups/biotechnology-ignition-grant-scheme-big</t>
  </si>
  <si>
    <t xml:space="preserve">CDSCO Class A notification (20 Sep 2022)</t>
  </si>
  <si>
    <t xml:space="preserve">https://operonstrategist.com/cdsco-notification-for-class-a-medical-devices/</t>
  </si>
  <si>
    <t xml:space="preserve">Medical-device licensing mandatory from 1 Oct 2023</t>
  </si>
  <si>
    <t xml:space="preserve">https://www.digitalhealthnews.com/cdsco-extends-deadline-for-class-c-d-medical-devices-cos-by-3-months</t>
  </si>
  <si>
    <t xml:space="preserve">Apple ResearchKit Movement Disorder API (6 Jun 2018)</t>
  </si>
  <si>
    <t xml:space="preserve">https://www.engadget.com/2018-06-06-apple-watch-monitor-parkinsons-symptoms.html</t>
  </si>
  <si>
    <t xml:space="preserve">Rune Labs FDA clearance (Jun 2022)</t>
  </si>
  <si>
    <t xml:space="preserve">https://9to5mac.com/2022/06/13/apple-watch-parkinsons/</t>
  </si>
  <si>
    <t xml:space="preserve">USD/INR 95.71 (12 Oct 2026)</t>
  </si>
  <si>
    <t xml:space="preserve">https://tradersunion.com/currencies/price/usd-inr/</t>
  </si>
  <si>
    <t xml:space="preserve">WHOOP India memberships: One ₹20,890, Peak ₹27,539 (checked 16 Oct 2026)</t>
  </si>
  <si>
    <t xml:space="preserve">Garmin Cirqa India launch, ₹25,990 (Business Today, 7 Oct 2026)</t>
  </si>
  <si>
    <t xml:space="preserve">Amazfit Helio Strap India: official ₹8,999 (MRP ₹17,999), sold out; sellers ₹12,000–15,000 (16 Oct 2026)</t>
  </si>
  <si>
    <t xml:space="preserve">Google Fitbit Air India launch, ₹13,999 (Free Press Journal)</t>
  </si>
  <si>
    <t xml:space="preserve">Imported active tremor spoons on desertcart.in: ₹35,980, ₹58,480, ₹1,40,386 (Google Shopping, checked 16 Oct 2026)</t>
  </si>
  <si>
    <t xml:space="preserve">GyroGlove listing, Parkinson's UK tech guide (16 Jun 2026)</t>
  </si>
  <si>
    <t xml:space="preserve">Liftware product range and cited study</t>
  </si>
  <si>
    <t xml:space="preserve">https://www.liftware.com/</t>
  </si>
  <si>
    <t xml:space="preserve">Weighted soup spoon (WellBefore)</t>
  </si>
  <si>
    <t xml:space="preserve">TremoSense repository</t>
  </si>
  <si>
    <t xml:space="preserve">https://github.com/rkt-1597/TremoSense-Project</t>
  </si>
  <si>
    <t xml:space="preserve">ParkinSense repository (develop)</t>
  </si>
  <si>
    <t xml:space="preserve">https://github.com/sudo-pranshu/ParkinSense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</si>
</sst>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0.000%"/>
    <numFmt numFmtId="168" formatCode="\₹#,##0;&quot;(₹&quot;#,##0\);\-"/>
    <numFmt numFmtId="169" formatCode="0.00"/>
    <numFmt numFmtId="170" formatCode="0.0"/>
    <numFmt numFmtId="171" formatCode="0.0\×"/>
    <numFmt numFmtId="172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9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4" t="n">
        <v>149000000</v>
      </c>
      <c r="D4" s="3" t="s">
        <v>9</v>
      </c>
      <c r="E4" s="3" t="s">
        <v>10</v>
      </c>
      <c r="F4" s="3" t="s">
        <v>11</v>
      </c>
    </row>
    <row r="5" customFormat="false" ht="15" hidden="false" customHeight="false" outlineLevel="0" collapsed="false">
      <c r="A5" s="3" t="s">
        <v>12</v>
      </c>
      <c r="B5" s="3" t="s">
        <v>13</v>
      </c>
      <c r="C5" s="5" t="n">
        <v>0.105</v>
      </c>
      <c r="D5" s="3" t="s">
        <v>14</v>
      </c>
      <c r="E5" s="3" t="s">
        <v>10</v>
      </c>
      <c r="F5" s="3" t="s">
        <v>15</v>
      </c>
    </row>
    <row r="6" customFormat="false" ht="15" hidden="false" customHeight="false" outlineLevel="0" collapsed="false">
      <c r="A6" s="3" t="s">
        <v>16</v>
      </c>
      <c r="B6" s="3" t="s">
        <v>17</v>
      </c>
      <c r="C6" s="6" t="n">
        <v>0.003089</v>
      </c>
      <c r="D6" s="3" t="s">
        <v>18</v>
      </c>
      <c r="E6" s="3" t="s">
        <v>10</v>
      </c>
      <c r="F6" s="3" t="s">
        <v>19</v>
      </c>
    </row>
    <row r="7" customFormat="false" ht="15" hidden="false" customHeight="false" outlineLevel="0" collapsed="false">
      <c r="A7" s="3" t="s">
        <v>20</v>
      </c>
      <c r="B7" s="3" t="s">
        <v>21</v>
      </c>
      <c r="C7" s="7" t="n">
        <v>0.0008996</v>
      </c>
      <c r="D7" s="3" t="s">
        <v>18</v>
      </c>
      <c r="E7" s="3" t="s">
        <v>10</v>
      </c>
      <c r="F7" s="3" t="s">
        <v>22</v>
      </c>
    </row>
    <row r="8" customFormat="false" ht="15" hidden="false" customHeight="false" outlineLevel="0" collapsed="false">
      <c r="A8" s="3" t="s">
        <v>23</v>
      </c>
      <c r="B8" s="3" t="s">
        <v>24</v>
      </c>
      <c r="C8" s="5" t="n">
        <v>0.311</v>
      </c>
      <c r="D8" s="3" t="s">
        <v>14</v>
      </c>
      <c r="E8" s="3" t="s">
        <v>10</v>
      </c>
      <c r="F8" s="3" t="s">
        <v>25</v>
      </c>
    </row>
    <row r="9" customFormat="false" ht="15" hidden="false" customHeight="false" outlineLevel="0" collapsed="false">
      <c r="A9" s="3" t="s">
        <v>26</v>
      </c>
      <c r="B9" s="3" t="s">
        <v>27</v>
      </c>
      <c r="C9" s="8" t="n">
        <v>0.4</v>
      </c>
      <c r="D9" s="3" t="s">
        <v>14</v>
      </c>
      <c r="E9" s="3" t="s">
        <v>28</v>
      </c>
      <c r="F9" s="3" t="s">
        <v>29</v>
      </c>
    </row>
    <row r="10" customFormat="false" ht="15" hidden="false" customHeight="false" outlineLevel="0" collapsed="false">
      <c r="A10" s="3" t="s">
        <v>30</v>
      </c>
      <c r="B10" s="3" t="s">
        <v>31</v>
      </c>
      <c r="C10" s="8" t="n">
        <v>0.5</v>
      </c>
      <c r="D10" s="3" t="s">
        <v>14</v>
      </c>
      <c r="E10" s="3" t="s">
        <v>28</v>
      </c>
      <c r="F10" s="3" t="s">
        <v>32</v>
      </c>
    </row>
    <row r="11" customFormat="false" ht="15" hidden="false" customHeight="false" outlineLevel="0" collapsed="false">
      <c r="A11" s="3" t="s">
        <v>33</v>
      </c>
      <c r="B11" s="3" t="s">
        <v>34</v>
      </c>
      <c r="C11" s="4" t="n">
        <v>3</v>
      </c>
      <c r="D11" s="3" t="s">
        <v>35</v>
      </c>
      <c r="E11" s="3" t="s">
        <v>28</v>
      </c>
      <c r="F11" s="3" t="s">
        <v>36</v>
      </c>
    </row>
    <row r="12" customFormat="false" ht="15" hidden="false" customHeight="false" outlineLevel="0" collapsed="false">
      <c r="A12" s="3" t="s">
        <v>37</v>
      </c>
      <c r="B12" s="9" t="s">
        <v>38</v>
      </c>
      <c r="C12" s="10" t="n">
        <v>9999</v>
      </c>
      <c r="D12" s="3" t="s">
        <v>39</v>
      </c>
      <c r="E12" s="3" t="s">
        <v>40</v>
      </c>
      <c r="F12" s="3" t="s">
        <v>41</v>
      </c>
    </row>
    <row r="13" customFormat="false" ht="15" hidden="false" customHeight="false" outlineLevel="0" collapsed="false">
      <c r="A13" s="3" t="s">
        <v>42</v>
      </c>
      <c r="B13" s="3" t="s">
        <v>43</v>
      </c>
      <c r="C13" s="10" t="n">
        <v>6999</v>
      </c>
      <c r="D13" s="3" t="s">
        <v>39</v>
      </c>
      <c r="E13" s="3" t="s">
        <v>44</v>
      </c>
      <c r="F13" s="3" t="s">
        <v>45</v>
      </c>
    </row>
    <row r="14" customFormat="false" ht="15" hidden="false" customHeight="false" outlineLevel="0" collapsed="false">
      <c r="A14" s="3" t="s">
        <v>46</v>
      </c>
      <c r="B14" s="3" t="s">
        <v>47</v>
      </c>
      <c r="C14" s="10" t="n">
        <v>8999</v>
      </c>
      <c r="D14" s="3" t="s">
        <v>39</v>
      </c>
      <c r="E14" s="3" t="s">
        <v>40</v>
      </c>
      <c r="F14" s="3" t="s">
        <v>48</v>
      </c>
    </row>
    <row r="15" customFormat="false" ht="15" hidden="false" customHeight="false" outlineLevel="0" collapsed="false">
      <c r="A15" s="3" t="s">
        <v>49</v>
      </c>
      <c r="B15" s="3" t="s">
        <v>50</v>
      </c>
      <c r="C15" s="10" t="n">
        <v>7999</v>
      </c>
      <c r="D15" s="3" t="s">
        <v>39</v>
      </c>
      <c r="E15" s="3" t="s">
        <v>40</v>
      </c>
      <c r="F15" s="3" t="s">
        <v>51</v>
      </c>
    </row>
    <row r="16" customFormat="false" ht="15" hidden="false" customHeight="false" outlineLevel="0" collapsed="false">
      <c r="A16" s="3" t="s">
        <v>52</v>
      </c>
      <c r="B16" s="3" t="s">
        <v>53</v>
      </c>
      <c r="C16" s="10" t="n">
        <v>199</v>
      </c>
      <c r="D16" s="3" t="s">
        <v>54</v>
      </c>
      <c r="E16" s="3" t="s">
        <v>40</v>
      </c>
      <c r="F16" s="3" t="s">
        <v>55</v>
      </c>
    </row>
    <row r="17" customFormat="false" ht="15" hidden="false" customHeight="false" outlineLevel="0" collapsed="false">
      <c r="A17" s="3" t="s">
        <v>56</v>
      </c>
      <c r="B17" s="3" t="s">
        <v>57</v>
      </c>
      <c r="C17" s="11" t="n">
        <v>74999</v>
      </c>
      <c r="D17" s="3" t="s">
        <v>58</v>
      </c>
      <c r="E17" s="3" t="s">
        <v>40</v>
      </c>
      <c r="F17" s="3" t="s">
        <v>59</v>
      </c>
    </row>
    <row r="18" customFormat="false" ht="15" hidden="false" customHeight="false" outlineLevel="0" collapsed="false">
      <c r="A18" s="3" t="s">
        <v>60</v>
      </c>
      <c r="B18" s="3" t="s">
        <v>61</v>
      </c>
      <c r="C18" s="8" t="n">
        <v>0.05</v>
      </c>
      <c r="D18" s="3" t="s">
        <v>14</v>
      </c>
      <c r="E18" s="3" t="s">
        <v>62</v>
      </c>
      <c r="F18" s="3" t="s">
        <v>63</v>
      </c>
    </row>
    <row r="19" customFormat="false" ht="15" hidden="false" customHeight="false" outlineLevel="0" collapsed="false">
      <c r="A19" s="3" t="s">
        <v>64</v>
      </c>
      <c r="B19" s="3" t="s">
        <v>65</v>
      </c>
      <c r="C19" s="8" t="n">
        <v>0.18</v>
      </c>
      <c r="D19" s="3" t="s">
        <v>14</v>
      </c>
      <c r="E19" s="3" t="s">
        <v>62</v>
      </c>
      <c r="F19" s="3" t="s">
        <v>66</v>
      </c>
    </row>
    <row r="20" customFormat="false" ht="15" hidden="false" customHeight="false" outlineLevel="0" collapsed="false">
      <c r="A20" s="3" t="s">
        <v>67</v>
      </c>
      <c r="B20" s="3" t="s">
        <v>68</v>
      </c>
      <c r="C20" s="8" t="n">
        <v>0.15</v>
      </c>
      <c r="D20" s="3" t="s">
        <v>14</v>
      </c>
      <c r="E20" s="3" t="s">
        <v>28</v>
      </c>
      <c r="F20" s="3" t="s">
        <v>69</v>
      </c>
    </row>
    <row r="21" customFormat="false" ht="15" hidden="false" customHeight="false" outlineLevel="0" collapsed="false">
      <c r="A21" s="3" t="s">
        <v>70</v>
      </c>
      <c r="B21" s="3" t="s">
        <v>71</v>
      </c>
      <c r="C21" s="5" t="n">
        <v>0.1</v>
      </c>
      <c r="D21" s="3" t="s">
        <v>14</v>
      </c>
      <c r="E21" s="3" t="s">
        <v>28</v>
      </c>
      <c r="F21" s="3" t="s">
        <v>72</v>
      </c>
    </row>
    <row r="22" customFormat="false" ht="15" hidden="false" customHeight="false" outlineLevel="0" collapsed="false">
      <c r="A22" s="3" t="s">
        <v>73</v>
      </c>
      <c r="B22" s="3" t="s">
        <v>74</v>
      </c>
      <c r="C22" s="5" t="n">
        <v>0.1</v>
      </c>
      <c r="D22" s="3" t="s">
        <v>14</v>
      </c>
      <c r="E22" s="3" t="s">
        <v>28</v>
      </c>
      <c r="F22" s="3" t="s">
        <v>75</v>
      </c>
    </row>
    <row r="23" customFormat="false" ht="15" hidden="false" customHeight="false" outlineLevel="0" collapsed="false">
      <c r="A23" s="3" t="s">
        <v>76</v>
      </c>
      <c r="B23" s="3" t="s">
        <v>77</v>
      </c>
      <c r="C23" s="11" t="n">
        <v>799</v>
      </c>
      <c r="D23" s="3" t="s">
        <v>54</v>
      </c>
      <c r="E23" s="3" t="s">
        <v>44</v>
      </c>
      <c r="F23" s="3" t="s">
        <v>78</v>
      </c>
    </row>
    <row r="24" customFormat="false" ht="15" hidden="false" customHeight="false" outlineLevel="0" collapsed="false">
      <c r="A24" s="3" t="s">
        <v>79</v>
      </c>
      <c r="B24" s="3" t="s">
        <v>80</v>
      </c>
      <c r="C24" s="5" t="n">
        <v>0.04</v>
      </c>
      <c r="D24" s="3" t="s">
        <v>81</v>
      </c>
      <c r="E24" s="3" t="s">
        <v>28</v>
      </c>
      <c r="F24" s="3" t="s">
        <v>82</v>
      </c>
    </row>
    <row r="25" customFormat="false" ht="15" hidden="false" customHeight="false" outlineLevel="0" collapsed="false">
      <c r="A25" s="3" t="s">
        <v>83</v>
      </c>
      <c r="B25" s="3" t="s">
        <v>84</v>
      </c>
      <c r="C25" s="5" t="n">
        <v>0.05</v>
      </c>
      <c r="D25" s="3" t="s">
        <v>14</v>
      </c>
      <c r="E25" s="3" t="s">
        <v>28</v>
      </c>
      <c r="F25" s="3" t="s">
        <v>85</v>
      </c>
    </row>
    <row r="26" customFormat="false" ht="15" hidden="false" customHeight="false" outlineLevel="0" collapsed="false">
      <c r="A26" s="3" t="s">
        <v>86</v>
      </c>
      <c r="B26" s="3" t="s">
        <v>87</v>
      </c>
      <c r="C26" s="11" t="n">
        <v>250</v>
      </c>
      <c r="D26" s="3" t="s">
        <v>39</v>
      </c>
      <c r="E26" s="3" t="s">
        <v>28</v>
      </c>
      <c r="F26" s="3" t="s">
        <v>88</v>
      </c>
    </row>
    <row r="27" customFormat="false" ht="15" hidden="false" customHeight="false" outlineLevel="0" collapsed="false">
      <c r="A27" s="3" t="s">
        <v>89</v>
      </c>
      <c r="B27" s="3" t="s">
        <v>90</v>
      </c>
      <c r="C27" s="10" t="n">
        <v>3530</v>
      </c>
      <c r="D27" s="3" t="s">
        <v>39</v>
      </c>
      <c r="E27" s="3" t="s">
        <v>28</v>
      </c>
      <c r="F27" s="3" t="s">
        <v>91</v>
      </c>
    </row>
    <row r="28" customFormat="false" ht="15" hidden="false" customHeight="false" outlineLevel="0" collapsed="false">
      <c r="A28" s="3" t="s">
        <v>92</v>
      </c>
      <c r="B28" s="3" t="s">
        <v>93</v>
      </c>
      <c r="C28" s="11" t="n">
        <v>40</v>
      </c>
      <c r="D28" s="3" t="s">
        <v>54</v>
      </c>
      <c r="E28" s="3" t="s">
        <v>28</v>
      </c>
      <c r="F28" s="3" t="s">
        <v>72</v>
      </c>
    </row>
    <row r="29" customFormat="false" ht="15" hidden="false" customHeight="false" outlineLevel="0" collapsed="false">
      <c r="A29" s="3" t="s">
        <v>94</v>
      </c>
      <c r="B29" s="3" t="s">
        <v>95</v>
      </c>
      <c r="C29" s="11" t="n">
        <v>5000</v>
      </c>
      <c r="D29" s="3" t="s">
        <v>58</v>
      </c>
      <c r="E29" s="3" t="s">
        <v>28</v>
      </c>
      <c r="F29" s="3" t="s">
        <v>72</v>
      </c>
    </row>
    <row r="30" customFormat="false" ht="15" hidden="false" customHeight="false" outlineLevel="0" collapsed="false">
      <c r="A30" s="3" t="s">
        <v>96</v>
      </c>
      <c r="B30" s="3" t="s">
        <v>97</v>
      </c>
      <c r="C30" s="10" t="n">
        <v>700000</v>
      </c>
      <c r="D30" s="3" t="s">
        <v>39</v>
      </c>
      <c r="E30" s="3" t="s">
        <v>28</v>
      </c>
      <c r="F30" s="3" t="s">
        <v>98</v>
      </c>
    </row>
    <row r="31" customFormat="false" ht="15" hidden="false" customHeight="false" outlineLevel="0" collapsed="false">
      <c r="A31" s="3" t="s">
        <v>99</v>
      </c>
      <c r="B31" s="3" t="s">
        <v>100</v>
      </c>
      <c r="C31" s="8" t="n">
        <v>0.05</v>
      </c>
      <c r="D31" s="3" t="s">
        <v>101</v>
      </c>
      <c r="E31" s="3" t="s">
        <v>28</v>
      </c>
      <c r="F31" s="3" t="s">
        <v>102</v>
      </c>
    </row>
    <row r="32" customFormat="false" ht="15" hidden="false" customHeight="false" outlineLevel="0" collapsed="false">
      <c r="A32" s="3" t="s">
        <v>103</v>
      </c>
      <c r="B32" s="3" t="s">
        <v>104</v>
      </c>
      <c r="C32" s="5" t="n">
        <v>0.4</v>
      </c>
      <c r="D32" s="3" t="s">
        <v>14</v>
      </c>
      <c r="E32" s="3" t="s">
        <v>28</v>
      </c>
      <c r="F32" s="3" t="s">
        <v>72</v>
      </c>
    </row>
    <row r="33" customFormat="false" ht="15" hidden="false" customHeight="false" outlineLevel="0" collapsed="false">
      <c r="A33" s="3" t="s">
        <v>105</v>
      </c>
      <c r="B33" s="3" t="s">
        <v>106</v>
      </c>
      <c r="C33" s="10" t="n">
        <v>1500</v>
      </c>
      <c r="D33" s="3" t="s">
        <v>39</v>
      </c>
      <c r="E33" s="3" t="s">
        <v>28</v>
      </c>
      <c r="F33" s="3" t="s">
        <v>107</v>
      </c>
    </row>
    <row r="34" customFormat="false" ht="15" hidden="false" customHeight="false" outlineLevel="0" collapsed="false">
      <c r="A34" s="3" t="s">
        <v>108</v>
      </c>
      <c r="B34" s="3" t="s">
        <v>109</v>
      </c>
      <c r="C34" s="8" t="n">
        <v>0.4</v>
      </c>
      <c r="D34" s="3" t="s">
        <v>14</v>
      </c>
      <c r="E34" s="3" t="s">
        <v>28</v>
      </c>
      <c r="F34" s="3" t="s">
        <v>110</v>
      </c>
    </row>
    <row r="35" customFormat="false" ht="15" hidden="false" customHeight="false" outlineLevel="0" collapsed="false">
      <c r="A35" s="3" t="s">
        <v>111</v>
      </c>
      <c r="B35" s="3" t="s">
        <v>112</v>
      </c>
      <c r="C35" s="5" t="n">
        <v>0.1</v>
      </c>
      <c r="D35" s="3" t="s">
        <v>14</v>
      </c>
      <c r="E35" s="3" t="s">
        <v>113</v>
      </c>
      <c r="F35" s="3"/>
    </row>
    <row r="36" customFormat="false" ht="15" hidden="false" customHeight="false" outlineLevel="0" collapsed="false">
      <c r="A36" s="3" t="s">
        <v>114</v>
      </c>
      <c r="B36" s="3" t="s">
        <v>115</v>
      </c>
      <c r="C36" s="8" t="n">
        <v>0.2</v>
      </c>
      <c r="D36" s="3" t="s">
        <v>14</v>
      </c>
      <c r="E36" s="3" t="s">
        <v>113</v>
      </c>
      <c r="F36" s="3" t="s">
        <v>116</v>
      </c>
    </row>
    <row r="37" customFormat="false" ht="15" hidden="false" customHeight="false" outlineLevel="0" collapsed="false">
      <c r="A37" s="3" t="s">
        <v>117</v>
      </c>
      <c r="B37" s="9" t="s">
        <v>118</v>
      </c>
      <c r="C37" s="10" t="n">
        <v>2000000</v>
      </c>
      <c r="D37" s="3" t="s">
        <v>39</v>
      </c>
      <c r="E37" s="3" t="s">
        <v>119</v>
      </c>
      <c r="F37" s="3" t="s">
        <v>120</v>
      </c>
    </row>
    <row r="38" customFormat="false" ht="15" hidden="false" customHeight="false" outlineLevel="0" collapsed="false">
      <c r="A38" s="3" t="s">
        <v>121</v>
      </c>
      <c r="B38" s="3" t="s">
        <v>122</v>
      </c>
      <c r="C38" s="8" t="n">
        <v>0.05</v>
      </c>
      <c r="D38" s="3" t="s">
        <v>14</v>
      </c>
      <c r="E38" s="3" t="s">
        <v>113</v>
      </c>
      <c r="F38" s="3" t="s">
        <v>123</v>
      </c>
    </row>
    <row r="39" customFormat="false" ht="15" hidden="false" customHeight="false" outlineLevel="0" collapsed="false">
      <c r="A39" s="3" t="s">
        <v>124</v>
      </c>
      <c r="B39" s="3" t="s">
        <v>125</v>
      </c>
      <c r="C39" s="10" t="n">
        <v>125000</v>
      </c>
      <c r="D39" s="3" t="s">
        <v>39</v>
      </c>
      <c r="E39" s="3" t="s">
        <v>28</v>
      </c>
      <c r="F39" s="3" t="s">
        <v>126</v>
      </c>
    </row>
    <row r="40" customFormat="false" ht="15" hidden="false" customHeight="false" outlineLevel="0" collapsed="false">
      <c r="A40" s="3" t="s">
        <v>127</v>
      </c>
      <c r="B40" s="3" t="s">
        <v>128</v>
      </c>
      <c r="C40" s="12" t="n">
        <v>95.71</v>
      </c>
      <c r="D40" s="3" t="s">
        <v>129</v>
      </c>
      <c r="E40" s="3" t="s">
        <v>10</v>
      </c>
      <c r="F40" s="3" t="s">
        <v>130</v>
      </c>
    </row>
    <row r="41" customFormat="false" ht="15" hidden="false" customHeight="false" outlineLevel="0" collapsed="false">
      <c r="A41" s="3" t="s">
        <v>131</v>
      </c>
      <c r="B41" s="3" t="s">
        <v>132</v>
      </c>
      <c r="C41" s="5" t="n">
        <v>0.15</v>
      </c>
      <c r="D41" s="3" t="s">
        <v>14</v>
      </c>
      <c r="E41" s="3" t="s">
        <v>133</v>
      </c>
      <c r="F41" s="3" t="s">
        <v>134</v>
      </c>
    </row>
    <row r="42" customFormat="false" ht="15" hidden="false" customHeight="false" outlineLevel="0" collapsed="false">
      <c r="A42" s="3" t="s">
        <v>135</v>
      </c>
      <c r="B42" s="3" t="s">
        <v>136</v>
      </c>
      <c r="C42" s="5" t="n">
        <v>0.2</v>
      </c>
      <c r="D42" s="3" t="s">
        <v>14</v>
      </c>
      <c r="E42" s="3" t="s">
        <v>133</v>
      </c>
      <c r="F42" s="3" t="s">
        <v>134</v>
      </c>
    </row>
    <row r="43" customFormat="false" ht="15" hidden="false" customHeight="false" outlineLevel="0" collapsed="false">
      <c r="A43" s="3" t="s">
        <v>137</v>
      </c>
      <c r="B43" s="3" t="s">
        <v>138</v>
      </c>
      <c r="C43" s="4" t="n">
        <v>3</v>
      </c>
      <c r="D43" s="3" t="s">
        <v>139</v>
      </c>
      <c r="E43" s="3" t="s">
        <v>72</v>
      </c>
      <c r="F43" s="3"/>
    </row>
    <row r="44" customFormat="false" ht="15" hidden="false" customHeight="false" outlineLevel="0" collapsed="false">
      <c r="A44" s="3" t="s">
        <v>140</v>
      </c>
      <c r="B44" s="3" t="s">
        <v>141</v>
      </c>
      <c r="C44" s="10" t="n">
        <v>7500000</v>
      </c>
      <c r="D44" s="3" t="s">
        <v>39</v>
      </c>
      <c r="E44" s="3" t="s">
        <v>133</v>
      </c>
      <c r="F44" s="3" t="s">
        <v>142</v>
      </c>
    </row>
    <row r="45" customFormat="false" ht="15" hidden="false" customHeight="false" outlineLevel="0" collapsed="false">
      <c r="A45" s="3" t="s">
        <v>143</v>
      </c>
      <c r="B45" s="3" t="s">
        <v>144</v>
      </c>
      <c r="C45" s="11" t="n">
        <v>6000000</v>
      </c>
      <c r="D45" s="3" t="s">
        <v>39</v>
      </c>
      <c r="E45" s="3" t="s">
        <v>133</v>
      </c>
      <c r="F45" s="3" t="s">
        <v>145</v>
      </c>
    </row>
    <row r="46" customFormat="false" ht="15" hidden="false" customHeight="false" outlineLevel="0" collapsed="false">
      <c r="A46" s="3" t="s">
        <v>146</v>
      </c>
      <c r="B46" s="3" t="s">
        <v>147</v>
      </c>
      <c r="C46" s="11" t="n">
        <v>10000000</v>
      </c>
      <c r="D46" s="3" t="s">
        <v>39</v>
      </c>
      <c r="E46" s="3" t="s">
        <v>133</v>
      </c>
      <c r="F46" s="3" t="s">
        <v>148</v>
      </c>
    </row>
    <row r="47" customFormat="false" ht="15" hidden="false" customHeight="false" outlineLevel="0" collapsed="false">
      <c r="A47" s="3" t="s">
        <v>149</v>
      </c>
      <c r="B47" s="3" t="s">
        <v>150</v>
      </c>
      <c r="C47" s="13" t="n">
        <v>50</v>
      </c>
      <c r="D47" s="3" t="s">
        <v>151</v>
      </c>
      <c r="E47" s="3" t="s">
        <v>152</v>
      </c>
      <c r="F4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153</v>
      </c>
    </row>
    <row r="3" customFormat="false" ht="23.85" hidden="false" customHeight="false" outlineLevel="0" collapsed="false">
      <c r="A3" s="2" t="s">
        <v>154</v>
      </c>
      <c r="B3" s="2" t="s">
        <v>155</v>
      </c>
      <c r="C3" s="2" t="s">
        <v>156</v>
      </c>
      <c r="D3" s="2" t="s">
        <v>157</v>
      </c>
      <c r="E3" s="2" t="s">
        <v>158</v>
      </c>
    </row>
    <row r="4" customFormat="false" ht="15" hidden="false" customHeight="false" outlineLevel="0" collapsed="false">
      <c r="A4" s="3" t="s">
        <v>159</v>
      </c>
      <c r="B4" s="14" t="n">
        <f aca="false">15.9*Assumptions!$C$40</f>
        <v>1521.789</v>
      </c>
      <c r="C4" s="14" t="n">
        <f aca="false">13.9*Assumptions!$C$40</f>
        <v>1330.369</v>
      </c>
      <c r="D4" s="11" t="n">
        <v>520</v>
      </c>
      <c r="E4" s="3" t="s">
        <v>160</v>
      </c>
    </row>
    <row r="5" customFormat="false" ht="15" hidden="false" customHeight="false" outlineLevel="0" collapsed="false">
      <c r="A5" s="3" t="s">
        <v>161</v>
      </c>
      <c r="B5" s="11" t="n">
        <v>1600</v>
      </c>
      <c r="C5" s="11" t="n">
        <v>1400</v>
      </c>
      <c r="D5" s="11" t="n">
        <v>500</v>
      </c>
      <c r="E5" s="3" t="s">
        <v>162</v>
      </c>
    </row>
    <row r="6" customFormat="false" ht="15" hidden="false" customHeight="false" outlineLevel="0" collapsed="false">
      <c r="A6" s="3" t="s">
        <v>163</v>
      </c>
      <c r="B6" s="11" t="n">
        <v>570</v>
      </c>
      <c r="C6" s="11" t="n">
        <v>470</v>
      </c>
      <c r="D6" s="11" t="n">
        <v>380</v>
      </c>
      <c r="E6" s="3" t="s">
        <v>164</v>
      </c>
    </row>
    <row r="7" customFormat="false" ht="15" hidden="false" customHeight="false" outlineLevel="0" collapsed="false">
      <c r="A7" s="3" t="s">
        <v>165</v>
      </c>
      <c r="B7" s="11" t="n">
        <v>120</v>
      </c>
      <c r="C7" s="11" t="n">
        <v>280</v>
      </c>
      <c r="D7" s="11" t="n">
        <v>550</v>
      </c>
      <c r="E7" s="3" t="s">
        <v>166</v>
      </c>
    </row>
    <row r="8" customFormat="false" ht="15" hidden="false" customHeight="false" outlineLevel="0" collapsed="false">
      <c r="A8" s="3" t="s">
        <v>167</v>
      </c>
      <c r="B8" s="11" t="n">
        <v>250</v>
      </c>
      <c r="C8" s="11" t="n">
        <v>600</v>
      </c>
      <c r="D8" s="11" t="n">
        <v>350</v>
      </c>
      <c r="E8" s="3" t="s">
        <v>168</v>
      </c>
    </row>
    <row r="9" customFormat="false" ht="15" hidden="false" customHeight="false" outlineLevel="0" collapsed="false">
      <c r="A9" s="3" t="s">
        <v>169</v>
      </c>
      <c r="B9" s="11" t="n">
        <v>500</v>
      </c>
      <c r="C9" s="11" t="n">
        <v>400</v>
      </c>
      <c r="D9" s="11" t="n">
        <v>200</v>
      </c>
      <c r="E9" s="3" t="s">
        <v>170</v>
      </c>
    </row>
    <row r="10" customFormat="false" ht="15" hidden="false" customHeight="false" outlineLevel="0" collapsed="false">
      <c r="A10" s="3" t="s">
        <v>171</v>
      </c>
      <c r="B10" s="11" t="n">
        <v>150</v>
      </c>
      <c r="C10" s="11" t="n">
        <v>200</v>
      </c>
      <c r="D10" s="11" t="n">
        <v>120</v>
      </c>
      <c r="E10" s="3" t="s">
        <v>172</v>
      </c>
    </row>
    <row r="11" customFormat="false" ht="15" hidden="false" customHeight="false" outlineLevel="0" collapsed="false">
      <c r="A11" s="3" t="s">
        <v>173</v>
      </c>
      <c r="B11" s="11" t="n">
        <v>150</v>
      </c>
      <c r="C11" s="11" t="n">
        <v>150</v>
      </c>
      <c r="D11" s="11" t="n">
        <v>100</v>
      </c>
      <c r="E11" s="3" t="s">
        <v>174</v>
      </c>
    </row>
    <row r="12" customFormat="false" ht="15" hidden="false" customHeight="false" outlineLevel="0" collapsed="false">
      <c r="A12" s="9" t="s">
        <v>175</v>
      </c>
      <c r="B12" s="15" t="n">
        <f aca="false">SUM(B4:B11)</f>
        <v>4861.789</v>
      </c>
      <c r="C12" s="15" t="n">
        <f aca="false">SUM(C4:C11)</f>
        <v>4830.369</v>
      </c>
      <c r="D12" s="15" t="n">
        <f aca="false">SUM(D4:D11)</f>
        <v>2720</v>
      </c>
    </row>
    <row r="13" customFormat="false" ht="15" hidden="false" customHeight="false" outlineLevel="0" collapsed="false">
      <c r="A13" s="0" t="s">
        <v>176</v>
      </c>
      <c r="B13" s="14" t="n">
        <f aca="false">SUM(B4:B7)</f>
        <v>3811.789</v>
      </c>
      <c r="C13" s="14" t="n">
        <f aca="false">SUM(C4:C7)</f>
        <v>3480.369</v>
      </c>
      <c r="D13" s="14" t="n">
        <f aca="false">SUM(D4:D7)</f>
        <v>1950</v>
      </c>
      <c r="E13" s="16" t="s">
        <v>177</v>
      </c>
    </row>
    <row r="14" customFormat="false" ht="15" hidden="false" customHeight="false" outlineLevel="0" collapsed="false">
      <c r="A14" s="0" t="s">
        <v>178</v>
      </c>
      <c r="B14" s="15" t="n">
        <f aca="false">SUM(B4:B8)</f>
        <v>4061.789</v>
      </c>
    </row>
    <row r="16" customFormat="false" ht="15" hidden="false" customHeight="false" outlineLevel="0" collapsed="false">
      <c r="A16" s="9" t="s">
        <v>179</v>
      </c>
    </row>
    <row r="17" customFormat="false" ht="15" hidden="false" customHeight="false" outlineLevel="0" collapsed="false">
      <c r="A17" s="0" t="s">
        <v>180</v>
      </c>
      <c r="B17" s="17" t="n">
        <f aca="false">Assumptions!$C$12</f>
        <v>9999</v>
      </c>
      <c r="C17" s="17" t="n">
        <f aca="false">Assumptions!$C$12</f>
        <v>9999</v>
      </c>
      <c r="D17" s="17" t="n">
        <f aca="false">Assumptions!$C$14</f>
        <v>8999</v>
      </c>
    </row>
    <row r="18" customFormat="false" ht="15" hidden="false" customHeight="false" outlineLevel="0" collapsed="false">
      <c r="A18" s="3" t="s">
        <v>181</v>
      </c>
      <c r="B18" s="14" t="n">
        <f aca="false">B17/(1+Assumptions!$C$18)</f>
        <v>9522.85714285714</v>
      </c>
      <c r="C18" s="14" t="n">
        <f aca="false">C17/(1+Assumptions!$C$18)</f>
        <v>9522.85714285714</v>
      </c>
      <c r="D18" s="14" t="n">
        <f aca="false">D17/(1+Assumptions!$C$18)</f>
        <v>8570.47619047619</v>
      </c>
    </row>
    <row r="19" customFormat="false" ht="15" hidden="false" customHeight="false" outlineLevel="0" collapsed="false">
      <c r="A19" s="3" t="s">
        <v>182</v>
      </c>
      <c r="B19" s="18" t="n">
        <f aca="false">B18*Assumptions!$C$20</f>
        <v>1428.42857142857</v>
      </c>
      <c r="C19" s="18" t="n">
        <f aca="false">C18*Assumptions!$C$20</f>
        <v>1428.42857142857</v>
      </c>
      <c r="D19" s="18" t="n">
        <f aca="false">D18*Assumptions!$C$20</f>
        <v>1285.57142857143</v>
      </c>
    </row>
    <row r="20" customFormat="false" ht="15" hidden="false" customHeight="false" outlineLevel="0" collapsed="false">
      <c r="A20" s="3" t="s">
        <v>183</v>
      </c>
      <c r="B20" s="14" t="n">
        <f aca="false">B18-B19</f>
        <v>8094.42857142857</v>
      </c>
      <c r="C20" s="14" t="n">
        <f aca="false">C18-C19</f>
        <v>8094.42857142857</v>
      </c>
      <c r="D20" s="14" t="n">
        <f aca="false">D18-D19</f>
        <v>7284.90476190476</v>
      </c>
    </row>
    <row r="21" customFormat="false" ht="15" hidden="false" customHeight="false" outlineLevel="0" collapsed="false">
      <c r="A21" s="3" t="s">
        <v>175</v>
      </c>
      <c r="B21" s="14" t="n">
        <f aca="false">B12</f>
        <v>4861.789</v>
      </c>
      <c r="C21" s="14" t="n">
        <f aca="false">C12</f>
        <v>4830.369</v>
      </c>
      <c r="D21" s="14" t="n">
        <f aca="false">D12</f>
        <v>2720</v>
      </c>
    </row>
    <row r="22" customFormat="false" ht="15" hidden="false" customHeight="false" outlineLevel="0" collapsed="false">
      <c r="A22" s="3" t="s">
        <v>184</v>
      </c>
      <c r="B22" s="14" t="n">
        <f aca="false">B18*IF("B"="B",0.08,Assumptions!$C$25)</f>
        <v>761.828571428571</v>
      </c>
      <c r="C22" s="14" t="n">
        <f aca="false">C18*IF("C"="B",0.08,Assumptions!$C$25)</f>
        <v>476.142857142857</v>
      </c>
      <c r="D22" s="14" t="n">
        <f aca="false">D18*IF("D"="B",0.08,Assumptions!$C$25)</f>
        <v>428.52380952381</v>
      </c>
      <c r="E22" s="16" t="s">
        <v>185</v>
      </c>
    </row>
    <row r="23" customFormat="false" ht="15" hidden="false" customHeight="false" outlineLevel="0" collapsed="false">
      <c r="A23" s="3" t="s">
        <v>186</v>
      </c>
      <c r="B23" s="14" t="n">
        <f aca="false">Assumptions!$C$26</f>
        <v>250</v>
      </c>
      <c r="C23" s="14" t="n">
        <f aca="false">Assumptions!$C$26</f>
        <v>250</v>
      </c>
      <c r="D23" s="14" t="n">
        <f aca="false">Assumptions!$C$26</f>
        <v>250</v>
      </c>
    </row>
    <row r="24" customFormat="false" ht="15" hidden="false" customHeight="false" outlineLevel="0" collapsed="false">
      <c r="A24" s="9" t="s">
        <v>187</v>
      </c>
      <c r="B24" s="14" t="n">
        <f aca="false">B20-B21-B22-B23</f>
        <v>2220.811</v>
      </c>
      <c r="C24" s="14" t="n">
        <f aca="false">C20-C21-C22-C23</f>
        <v>2537.91671428571</v>
      </c>
      <c r="D24" s="14" t="n">
        <f aca="false">D20-D21-D22-D23</f>
        <v>3886.38095238095</v>
      </c>
    </row>
    <row r="25" customFormat="false" ht="15" hidden="false" customHeight="false" outlineLevel="0" collapsed="false">
      <c r="A25" s="9" t="s">
        <v>188</v>
      </c>
      <c r="B25" s="18" t="n">
        <f aca="false">IF(B20=0,0,B24/B20)</f>
        <v>0.274362912761865</v>
      </c>
      <c r="C25" s="18" t="n">
        <f aca="false">IF(C20=0,0,C24/C20)</f>
        <v>0.313538712694799</v>
      </c>
      <c r="D25" s="18" t="n">
        <f aca="false">IF(D20=0,0,D24/D20)</f>
        <v>0.53348411261382</v>
      </c>
    </row>
    <row r="26" customFormat="false" ht="15" hidden="false" customHeight="false" outlineLevel="0" collapsed="false">
      <c r="A26" s="9" t="s">
        <v>189</v>
      </c>
      <c r="B26" s="19" t="n">
        <f aca="false">IF(B24&lt;=0,"never",Forecast!$C$81/B24)</f>
        <v>226.81466525516</v>
      </c>
      <c r="C26" s="19" t="n">
        <f aca="false">IF(C24&lt;=0,"never",Forecast!$C$81/C24)</f>
        <v>198.474796562323</v>
      </c>
      <c r="D26" s="19" t="n">
        <f aca="false">IF(D24&lt;=0,"never",Forecast!$C$81/D24)</f>
        <v>129.609657347508</v>
      </c>
      <c r="E26" s="16" t="s">
        <v>190</v>
      </c>
    </row>
    <row r="27" customFormat="false" ht="15" hidden="false" customHeight="false" outlineLevel="0" collapsed="false">
      <c r="A27" s="9" t="s">
        <v>191</v>
      </c>
      <c r="B27" s="18" t="n">
        <f aca="false">IF(B20=0,0,(B20-B21)/B20)</f>
        <v>0.399366001306013</v>
      </c>
      <c r="C27" s="18" t="n">
        <f aca="false">IF(C20=0,0,(C20-C21)/C20)</f>
        <v>0.403247683591889</v>
      </c>
      <c r="D27" s="18" t="n">
        <f aca="false">IF(D20=0,0,(D20-D21)/D20)</f>
        <v>0.62662518057562</v>
      </c>
      <c r="E27" s="16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193</v>
      </c>
    </row>
    <row r="3" customFormat="false" ht="15" hidden="false" customHeight="false" outlineLevel="0" collapsed="false">
      <c r="A3" s="2" t="s">
        <v>194</v>
      </c>
      <c r="B3" s="2" t="s">
        <v>195</v>
      </c>
      <c r="C3" s="2" t="s">
        <v>196</v>
      </c>
      <c r="D3" s="2" t="s">
        <v>197</v>
      </c>
      <c r="E3" s="2" t="s">
        <v>198</v>
      </c>
      <c r="F3" s="2" t="s">
        <v>199</v>
      </c>
      <c r="G3" s="2" t="s">
        <v>200</v>
      </c>
      <c r="H3" s="2" t="s">
        <v>201</v>
      </c>
    </row>
    <row r="4" customFormat="false" ht="15" hidden="false" customHeight="false" outlineLevel="0" collapsed="false">
      <c r="A4" s="11" t="n">
        <v>4999</v>
      </c>
      <c r="B4" s="14" t="n">
        <f aca="false">(A4/(1+Assumptions!$C$18))*(1-Assumptions!$C$20)-'TremoSense Costs'!B12-(A4/(1+Assumptions!$C$18))*0.08-Assumptions!$C$26</f>
        <v>-1445.85566666667</v>
      </c>
      <c r="C4" s="18" t="n">
        <f aca="false">IF((A4/(1+Assumptions!$C$18))*(1-Assumptions!$C$20)=0,0,B4/((A4/(1+Assumptions!$C$18))*(1-Assumptions!$C$20)))</f>
        <v>-0.357282856571314</v>
      </c>
      <c r="D4" s="14" t="n">
        <f aca="false">(A4/(1+Assumptions!$C$18))*(1-Assumptions!$C$20)-'TremoSense Costs'!C12-(A4/(1+Assumptions!$C$18))*Assumptions!$C$25-Assumptions!$C$26</f>
        <v>-1271.6070952381</v>
      </c>
      <c r="E4" s="18" t="n">
        <f aca="false">IF((A4/(1+Assumptions!$C$18))*(1-Assumptions!$C$20)=0,0,D4/((A4/(1+Assumptions!$C$18))*(1-Assumptions!$C$20)))</f>
        <v>-0.314224597860749</v>
      </c>
      <c r="F4" s="14" t="n">
        <f aca="false">(A4/(1+Assumptions!$C$18))*(1-Assumptions!$C$20)-'TremoSense Costs'!D12-(A4/(1+Assumptions!$C$18))*Assumptions!$C$25-Assumptions!$C$26</f>
        <v>838.761904761904</v>
      </c>
      <c r="G4" s="18" t="n">
        <f aca="false">IF((A4/(1+Assumptions!$C$18))*(1-Assumptions!$C$20)=0,0,F4/((A4/(1+Assumptions!$C$18))*(1-Assumptions!$C$20)))</f>
        <v>0.207264982408246</v>
      </c>
      <c r="H4" s="3" t="str">
        <f aca="false">IF(E4&gt;=0.3,"Viable at small batch",IF(G4&gt;=0.3,"Viable only after verified C cost",IF(G4&gt;0,"Thin even at C","Loss-making")))</f>
        <v>Thin even at C</v>
      </c>
    </row>
    <row r="5" customFormat="false" ht="15" hidden="false" customHeight="false" outlineLevel="0" collapsed="false">
      <c r="A5" s="11" t="n">
        <v>5999</v>
      </c>
      <c r="B5" s="14" t="n">
        <f aca="false">(A5/(1+Assumptions!$C$18))*(1-Assumptions!$C$20)-'TremoSense Costs'!B12-(A5/(1+Assumptions!$C$18))*0.08-Assumptions!$C$26</f>
        <v>-712.522333333333</v>
      </c>
      <c r="C5" s="18" t="n">
        <f aca="false">IF((A5/(1+Assumptions!$C$18))*(1-Assumptions!$C$20)=0,0,B5/((A5/(1+Assumptions!$C$18))*(1-Assumptions!$C$20)))</f>
        <v>-0.146720227881117</v>
      </c>
      <c r="D5" s="14" t="n">
        <f aca="false">(A5/(1+Assumptions!$C$18))*(1-Assumptions!$C$20)-'TremoSense Costs'!C12-(A5/(1+Assumptions!$C$18))*Assumptions!$C$25-Assumptions!$C$26</f>
        <v>-509.702333333333</v>
      </c>
      <c r="E5" s="18" t="n">
        <f aca="false">IF((A5/(1+Assumptions!$C$18))*(1-Assumptions!$C$20)=0,0,D5/((A5/(1+Assumptions!$C$18))*(1-Assumptions!$C$20)))</f>
        <v>-0.104956208387672</v>
      </c>
      <c r="F5" s="14" t="n">
        <f aca="false">(A5/(1+Assumptions!$C$18))*(1-Assumptions!$C$20)-'TremoSense Costs'!D12-(A5/(1+Assumptions!$C$18))*Assumptions!$C$25-Assumptions!$C$26</f>
        <v>1600.66666666667</v>
      </c>
      <c r="G5" s="18" t="n">
        <f aca="false">IF((A5/(1+Assumptions!$C$18))*(1-Assumptions!$C$20)=0,0,F5/((A5/(1+Assumptions!$C$18))*(1-Assumptions!$C$20)))</f>
        <v>0.32960395360011</v>
      </c>
      <c r="H5" s="3" t="str">
        <f aca="false">IF(E5&gt;=0.3,"Viable at small batch",IF(G5&gt;=0.3,"Viable only after verified C cost",IF(G5&gt;0,"Thin even at C","Loss-making")))</f>
        <v>Viable only after verified C cost</v>
      </c>
    </row>
    <row r="6" customFormat="false" ht="15" hidden="false" customHeight="false" outlineLevel="0" collapsed="false">
      <c r="A6" s="11" t="n">
        <v>6999</v>
      </c>
      <c r="B6" s="14" t="n">
        <f aca="false">(A6/(1+Assumptions!$C$18))*(1-Assumptions!$C$20)-'TremoSense Costs'!B12-(A6/(1+Assumptions!$C$18))*0.08-Assumptions!$C$26</f>
        <v>20.8109999999996</v>
      </c>
      <c r="C6" s="18" t="n">
        <f aca="false">IF((A6/(1+Assumptions!$C$18))*(1-Assumptions!$C$20)=0,0,B6/((A6/(1+Assumptions!$C$18))*(1-Assumptions!$C$20)))</f>
        <v>0.00367305413378374</v>
      </c>
      <c r="D6" s="14" t="n">
        <f aca="false">(A6/(1+Assumptions!$C$18))*(1-Assumptions!$C$20)-'TremoSense Costs'!C12-(A6/(1+Assumptions!$C$18))*Assumptions!$C$25-Assumptions!$C$26</f>
        <v>252.202428571428</v>
      </c>
      <c r="E6" s="18" t="n">
        <f aca="false">IF((A6/(1+Assumptions!$C$18))*(1-Assumptions!$C$20)=0,0,D6/((A6/(1+Assumptions!$C$18))*(1-Assumptions!$C$20)))</f>
        <v>0.0445126698772093</v>
      </c>
      <c r="F6" s="14" t="n">
        <f aca="false">(A6/(1+Assumptions!$C$18))*(1-Assumptions!$C$20)-'TremoSense Costs'!D12-(A6/(1+Assumptions!$C$18))*Assumptions!$C$25-Assumptions!$C$26</f>
        <v>2362.57142857143</v>
      </c>
      <c r="G6" s="18" t="n">
        <f aca="false">IF((A6/(1+Assumptions!$C$18))*(1-Assumptions!$C$20)=0,0,F6/((A6/(1+Assumptions!$C$18))*(1-Assumptions!$C$20)))</f>
        <v>0.416983938882025</v>
      </c>
      <c r="H6" s="3" t="str">
        <f aca="false">IF(E6&gt;=0.3,"Viable at small batch",IF(G6&gt;=0.3,"Viable only after verified C cost",IF(G6&gt;0,"Thin even at C","Loss-making")))</f>
        <v>Viable only after verified C cost</v>
      </c>
    </row>
    <row r="7" customFormat="false" ht="15" hidden="false" customHeight="false" outlineLevel="0" collapsed="false">
      <c r="A7" s="11" t="n">
        <v>7999</v>
      </c>
      <c r="B7" s="14" t="n">
        <f aca="false">(A7/(1+Assumptions!$C$18))*(1-Assumptions!$C$20)-'TremoSense Costs'!B12-(A7/(1+Assumptions!$C$18))*0.08-Assumptions!$C$26</f>
        <v>754.144333333333</v>
      </c>
      <c r="C7" s="18" t="n">
        <f aca="false">IF((A7/(1+Assumptions!$C$18))*(1-Assumptions!$C$20)=0,0,B7/((A7/(1+Assumptions!$C$18))*(1-Assumptions!$C$20)))</f>
        <v>0.11646331526735</v>
      </c>
      <c r="D7" s="14" t="n">
        <f aca="false">(A7/(1+Assumptions!$C$18))*(1-Assumptions!$C$20)-'TremoSense Costs'!C12-(A7/(1+Assumptions!$C$18))*Assumptions!$C$25-Assumptions!$C$26</f>
        <v>1014.10719047619</v>
      </c>
      <c r="E7" s="18" t="n">
        <f aca="false">IF((A7/(1+Assumptions!$C$18))*(1-Assumptions!$C$20)=0,0,D7/((A7/(1+Assumptions!$C$18))*(1-Assumptions!$C$20)))</f>
        <v>0.156609657089489</v>
      </c>
      <c r="F7" s="14" t="n">
        <f aca="false">(A7/(1+Assumptions!$C$18))*(1-Assumptions!$C$20)-'TremoSense Costs'!D12-(A7/(1+Assumptions!$C$18))*Assumptions!$C$25-Assumptions!$C$26</f>
        <v>3124.47619047619</v>
      </c>
      <c r="G7" s="18" t="n">
        <f aca="false">IF((A7/(1+Assumptions!$C$18))*(1-Assumptions!$C$20)=0,0,F7/((A7/(1+Assumptions!$C$18))*(1-Assumptions!$C$20)))</f>
        <v>0.482516196877551</v>
      </c>
      <c r="H7" s="3" t="str">
        <f aca="false">IF(E7&gt;=0.3,"Viable at small batch",IF(G7&gt;=0.3,"Viable only after verified C cost",IF(G7&gt;0,"Thin even at C","Loss-making")))</f>
        <v>Viable only after verified C cost</v>
      </c>
    </row>
    <row r="8" customFormat="false" ht="15" hidden="false" customHeight="false" outlineLevel="0" collapsed="false">
      <c r="A8" s="11" t="n">
        <v>8999</v>
      </c>
      <c r="B8" s="14" t="n">
        <f aca="false">(A8/(1+Assumptions!$C$18))*(1-Assumptions!$C$20)-'TremoSense Costs'!B12-(A8/(1+Assumptions!$C$18))*0.08-Assumptions!$C$26</f>
        <v>1487.47766666667</v>
      </c>
      <c r="C8" s="18" t="n">
        <f aca="false">IF((A8/(1+Assumptions!$C$18))*(1-Assumptions!$C$20)=0,0,B8/((A8/(1+Assumptions!$C$18))*(1-Assumptions!$C$20)))</f>
        <v>0.204186288672598</v>
      </c>
      <c r="D8" s="14" t="n">
        <f aca="false">(A8/(1+Assumptions!$C$18))*(1-Assumptions!$C$20)-'TremoSense Costs'!C12-(A8/(1+Assumptions!$C$18))*Assumptions!$C$25-Assumptions!$C$26</f>
        <v>1776.01195238095</v>
      </c>
      <c r="E8" s="18" t="n">
        <f aca="false">IF((A8/(1+Assumptions!$C$18))*(1-Assumptions!$C$20)=0,0,D8/((A8/(1+Assumptions!$C$18))*(1-Assumptions!$C$20)))</f>
        <v>0.243793434564625</v>
      </c>
      <c r="F8" s="14" t="n">
        <f aca="false">(A8/(1+Assumptions!$C$18))*(1-Assumptions!$C$20)-'TremoSense Costs'!D12-(A8/(1+Assumptions!$C$18))*Assumptions!$C$25-Assumptions!$C$26</f>
        <v>3886.38095238095</v>
      </c>
      <c r="G8" s="18" t="n">
        <f aca="false">IF((A8/(1+Assumptions!$C$18))*(1-Assumptions!$C$20)=0,0,F8/((A8/(1+Assumptions!$C$18))*(1-Assumptions!$C$20)))</f>
        <v>0.53348411261382</v>
      </c>
      <c r="H8" s="3" t="str">
        <f aca="false">IF(E8&gt;=0.3,"Viable at small batch",IF(G8&gt;=0.3,"Viable only after verified C cost",IF(G8&gt;0,"Thin even at C","Loss-making")))</f>
        <v>Viable only after verified C cost</v>
      </c>
    </row>
    <row r="9" customFormat="false" ht="15" hidden="false" customHeight="false" outlineLevel="0" collapsed="false">
      <c r="A9" s="11" t="n">
        <v>9999</v>
      </c>
      <c r="B9" s="14" t="n">
        <f aca="false">(A9/(1+Assumptions!$C$18))*(1-Assumptions!$C$20)-'TremoSense Costs'!B12-(A9/(1+Assumptions!$C$18))*0.08-Assumptions!$C$26</f>
        <v>2220.811</v>
      </c>
      <c r="C9" s="18" t="n">
        <f aca="false">IF((A9/(1+Assumptions!$C$18))*(1-Assumptions!$C$20)=0,0,B9/((A9/(1+Assumptions!$C$18))*(1-Assumptions!$C$20)))</f>
        <v>0.274362912761865</v>
      </c>
      <c r="D9" s="14" t="n">
        <f aca="false">(A9/(1+Assumptions!$C$18))*(1-Assumptions!$C$20)-'TremoSense Costs'!C12-(A9/(1+Assumptions!$C$18))*Assumptions!$C$25-Assumptions!$C$26</f>
        <v>2537.91671428571</v>
      </c>
      <c r="E9" s="18" t="n">
        <f aca="false">IF((A9/(1+Assumptions!$C$18))*(1-Assumptions!$C$20)=0,0,D9/((A9/(1+Assumptions!$C$18))*(1-Assumptions!$C$20)))</f>
        <v>0.313538712694799</v>
      </c>
      <c r="F9" s="14" t="n">
        <f aca="false">(A9/(1+Assumptions!$C$18))*(1-Assumptions!$C$20)-'TremoSense Costs'!D12-(A9/(1+Assumptions!$C$18))*Assumptions!$C$25-Assumptions!$C$26</f>
        <v>4648.28571428572</v>
      </c>
      <c r="G9" s="18" t="n">
        <f aca="false">IF((A9/(1+Assumptions!$C$18))*(1-Assumptions!$C$20)=0,0,F9/((A9/(1+Assumptions!$C$18))*(1-Assumptions!$C$20)))</f>
        <v>0.574257425742574</v>
      </c>
      <c r="H9" s="3" t="str">
        <f aca="false">IF(E9&gt;=0.3,"Viable at small batch",IF(G9&gt;=0.3,"Viable only after verified C cost",IF(G9&gt;0,"Thin even at C","Loss-making")))</f>
        <v>Viable at small batch</v>
      </c>
    </row>
    <row r="10" customFormat="false" ht="15" hidden="false" customHeight="false" outlineLevel="0" collapsed="false">
      <c r="A10" s="11" t="n">
        <v>12999</v>
      </c>
      <c r="B10" s="14" t="n">
        <f aca="false">(A10/(1+Assumptions!$C$18))*(1-Assumptions!$C$20)-'TremoSense Costs'!B12-(A10/(1+Assumptions!$C$18))*0.08-Assumptions!$C$26</f>
        <v>4420.811</v>
      </c>
      <c r="C10" s="18" t="n">
        <f aca="false">IF((A10/(1+Assumptions!$C$18))*(1-Assumptions!$C$20)=0,0,B10/((A10/(1+Assumptions!$C$18))*(1-Assumptions!$C$20)))</f>
        <v>0.420109379454528</v>
      </c>
      <c r="D10" s="14" t="n">
        <f aca="false">(A10/(1+Assumptions!$C$18))*(1-Assumptions!$C$20)-'TremoSense Costs'!C12-(A10/(1+Assumptions!$C$18))*Assumptions!$C$25-Assumptions!$C$26</f>
        <v>4823.631</v>
      </c>
      <c r="E10" s="18" t="n">
        <f aca="false">IF((A10/(1+Assumptions!$C$18))*(1-Assumptions!$C$20)=0,0,D10/((A10/(1+Assumptions!$C$18))*(1-Assumptions!$C$20)))</f>
        <v>0.458389337641357</v>
      </c>
      <c r="F10" s="14" t="n">
        <f aca="false">(A10/(1+Assumptions!$C$18))*(1-Assumptions!$C$20)-'TremoSense Costs'!D12-(A10/(1+Assumptions!$C$18))*Assumptions!$C$25-Assumptions!$C$26</f>
        <v>6934</v>
      </c>
      <c r="G10" s="18" t="n">
        <f aca="false">IF((A10/(1+Assumptions!$C$18))*(1-Assumptions!$C$20)=0,0,F10/((A10/(1+Assumptions!$C$18))*(1-Assumptions!$C$20)))</f>
        <v>0.65893756533308</v>
      </c>
      <c r="H10" s="3" t="str">
        <f aca="false">IF(E10&gt;=0.3,"Viable at small batch",IF(G10&gt;=0.3,"Viable only after verified C cost",IF(G10&gt;0,"Thin even at C","Loss-making")))</f>
        <v>Viable at small batch</v>
      </c>
    </row>
    <row r="12" customFormat="false" ht="15" hidden="false" customHeight="false" outlineLevel="0" collapsed="false">
      <c r="A12" s="9" t="s">
        <v>202</v>
      </c>
      <c r="B12" s="16" t="s">
        <v>203</v>
      </c>
    </row>
    <row r="14" customFormat="false" ht="15" hidden="false" customHeight="false" outlineLevel="0" collapsed="false">
      <c r="A14" s="9" t="s">
        <v>204</v>
      </c>
    </row>
    <row r="15" customFormat="false" ht="23.85" hidden="false" customHeight="false" outlineLevel="0" collapsed="false">
      <c r="A15" s="2" t="s">
        <v>205</v>
      </c>
      <c r="B15" s="2" t="s">
        <v>206</v>
      </c>
      <c r="C15" s="2" t="s">
        <v>207</v>
      </c>
      <c r="D15" s="2" t="s">
        <v>208</v>
      </c>
      <c r="E15" s="2" t="s">
        <v>209</v>
      </c>
    </row>
    <row r="16" customFormat="false" ht="15" hidden="false" customHeight="false" outlineLevel="0" collapsed="false">
      <c r="A16" s="3" t="s">
        <v>210</v>
      </c>
      <c r="B16" s="14" t="n">
        <f aca="false">Assumptions!$C$12/(1+Assumptions!$C$18)</f>
        <v>9522.85714285714</v>
      </c>
      <c r="C16" s="14" t="n">
        <f aca="false">B16-'TremoSense Costs'!C12-Assumptions!$C$12/(1+Assumptions!$C$18)*Assumptions!$C$25-Assumptions!$C$26</f>
        <v>3966.34528571429</v>
      </c>
      <c r="D16" s="18" t="n">
        <f aca="false">IF(B16=0,0,C16/B16)</f>
        <v>0.416507905790579</v>
      </c>
      <c r="E16" s="3" t="s">
        <v>211</v>
      </c>
    </row>
    <row r="17" customFormat="false" ht="15" hidden="false" customHeight="false" outlineLevel="0" collapsed="false">
      <c r="A17" s="3" t="s">
        <v>212</v>
      </c>
      <c r="B17" s="14" t="n">
        <f aca="false">Assumptions!$C$12/(1+Assumptions!$C$18)*(1-Assumptions!$C$20)</f>
        <v>8094.42857142857</v>
      </c>
      <c r="C17" s="14" t="n">
        <f aca="false">B17-'TremoSense Costs'!C12-Assumptions!$C$12/(1+Assumptions!$C$18)*Assumptions!$C$25-Assumptions!$C$26</f>
        <v>2537.91671428571</v>
      </c>
      <c r="D17" s="18" t="n">
        <f aca="false">IF(B17=0,0,C17/B17)</f>
        <v>0.313538712694799</v>
      </c>
      <c r="E17" s="3" t="s">
        <v>213</v>
      </c>
    </row>
    <row r="18" customFormat="false" ht="15" hidden="false" customHeight="false" outlineLevel="0" collapsed="false">
      <c r="A18" s="3" t="s">
        <v>214</v>
      </c>
      <c r="B18" s="14" t="n">
        <f aca="false">Assumptions!$C$12/(1+Assumptions!$C$18)*(1-Assumptions!$C$20)</f>
        <v>8094.42857142857</v>
      </c>
      <c r="C18" s="14" t="n">
        <f aca="false">B18-'TremoSense Costs'!C12-Assumptions!$C$12/(1+Assumptions!$C$18)*Assumptions!$C$25-Assumptions!$C$26</f>
        <v>2537.91671428571</v>
      </c>
      <c r="D18" s="18" t="n">
        <f aca="false">IF(B18=0,0,C18/B18)</f>
        <v>0.313538712694799</v>
      </c>
      <c r="E18" s="3" t="s">
        <v>215</v>
      </c>
    </row>
    <row r="19" customFormat="false" ht="15" hidden="false" customHeight="false" outlineLevel="0" collapsed="false">
      <c r="A19" s="3" t="s">
        <v>216</v>
      </c>
      <c r="B19" s="14" t="n">
        <f aca="false">Assumptions!$C$12/(1+Assumptions!$C$18)*(1-Assumptions!$C$22)</f>
        <v>8570.57142857143</v>
      </c>
      <c r="C19" s="14" t="n">
        <f aca="false">B19-'TremoSense Costs'!C12-Assumptions!$C$12/(1+Assumptions!$C$18)*Assumptions!$C$25-Assumptions!$C$26</f>
        <v>3014.05957142857</v>
      </c>
      <c r="D19" s="18" t="n">
        <f aca="false">IF(B19=0,0,C19/B19)</f>
        <v>0.351675450878421</v>
      </c>
      <c r="E19" s="3" t="s">
        <v>217</v>
      </c>
    </row>
    <row r="20" customFormat="false" ht="15" hidden="false" customHeight="false" outlineLevel="0" collapsed="false">
      <c r="A20" s="3" t="s">
        <v>218</v>
      </c>
      <c r="B20" s="14" t="n">
        <f aca="false">Assumptions!$C$12/(1+Assumptions!$C$18)-Assumptions!$C$12*Assumptions!$C$24</f>
        <v>9122.89714285714</v>
      </c>
      <c r="C20" s="14" t="n">
        <f aca="false">B20-'TremoSense Costs'!C12-Assumptions!$C$12/(1+Assumptions!$C$18)*Assumptions!$C$25-Assumptions!$C$26</f>
        <v>3566.38528571429</v>
      </c>
      <c r="D20" s="18" t="n">
        <f aca="false">IF(B20=0,0,C20/B20)</f>
        <v>0.390926832766784</v>
      </c>
      <c r="E20" s="3" t="s">
        <v>219</v>
      </c>
    </row>
    <row r="22" customFormat="false" ht="15" hidden="false" customHeight="false" outlineLevel="0" collapsed="false">
      <c r="A22" s="9" t="s">
        <v>220</v>
      </c>
      <c r="B22" s="14" t="n">
        <f aca="false">Assumptions!$C$23/1.18*(1-Assumptions!$C$20)</f>
        <v>575.550847457627</v>
      </c>
      <c r="E22" s="16" t="s">
        <v>221</v>
      </c>
    </row>
    <row r="23" customFormat="false" ht="15" hidden="false" customHeight="false" outlineLevel="0" collapsed="false">
      <c r="A23" s="0" t="s">
        <v>222</v>
      </c>
      <c r="B23" s="19" t="n">
        <f aca="false">('TremoSense Costs'!C12+2*Assumptions!$C$26)/B22</f>
        <v>9.26133463888684</v>
      </c>
      <c r="E23" s="1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224</v>
      </c>
    </row>
    <row r="3" customFormat="false" ht="23.85" hidden="false" customHeight="false" outlineLevel="0" collapsed="false">
      <c r="A3" s="2" t="s">
        <v>154</v>
      </c>
      <c r="B3" s="2" t="s">
        <v>225</v>
      </c>
      <c r="C3" s="2" t="s">
        <v>226</v>
      </c>
      <c r="D3" s="2" t="s">
        <v>227</v>
      </c>
      <c r="E3" s="2" t="s">
        <v>228</v>
      </c>
    </row>
    <row r="4" customFormat="false" ht="15" hidden="false" customHeight="false" outlineLevel="0" collapsed="false">
      <c r="A4" s="3" t="s">
        <v>229</v>
      </c>
      <c r="B4" s="14" t="n">
        <f aca="false">Assumptions!$C$12</f>
        <v>9999</v>
      </c>
      <c r="C4" s="14" t="n">
        <f aca="false">Assumptions!$C$15</f>
        <v>7999</v>
      </c>
      <c r="D4" s="14" t="n">
        <f aca="false">Assumptions!$C$16</f>
        <v>199</v>
      </c>
      <c r="E4" s="14" t="n">
        <f aca="false">Assumptions!$C$17</f>
        <v>74999</v>
      </c>
    </row>
    <row r="5" customFormat="false" ht="15" hidden="false" customHeight="false" outlineLevel="0" collapsed="false">
      <c r="A5" s="3" t="s">
        <v>181</v>
      </c>
      <c r="B5" s="14" t="n">
        <f aca="false">B4/(1+Assumptions!$C$18)</f>
        <v>9522.85714285714</v>
      </c>
      <c r="C5" s="14" t="n">
        <f aca="false">C4/(1+Assumptions!$C$19)</f>
        <v>6778.81355932203</v>
      </c>
      <c r="D5" s="14" t="n">
        <f aca="false">D4/(1+Assumptions!$C$19)</f>
        <v>168.64406779661</v>
      </c>
      <c r="E5" s="14" t="n">
        <f aca="false">E4/(1+Assumptions!$C$19)</f>
        <v>63558.4745762712</v>
      </c>
    </row>
    <row r="6" customFormat="false" ht="15" hidden="false" customHeight="false" outlineLevel="0" collapsed="false">
      <c r="A6" s="3" t="s">
        <v>230</v>
      </c>
      <c r="B6" s="14" t="n">
        <f aca="false">B5*Assumptions!$C$20</f>
        <v>1428.42857142857</v>
      </c>
      <c r="C6" s="14" t="n">
        <f aca="false">C5*Assumptions!$C$21</f>
        <v>677.881355932203</v>
      </c>
      <c r="D6" s="11" t="n">
        <v>0</v>
      </c>
      <c r="E6" s="11" t="n">
        <v>0</v>
      </c>
    </row>
    <row r="7" customFormat="false" ht="15" hidden="false" customHeight="false" outlineLevel="0" collapsed="false">
      <c r="A7" s="3" t="s">
        <v>231</v>
      </c>
      <c r="B7" s="14" t="n">
        <f aca="false">B5-B6</f>
        <v>8094.42857142857</v>
      </c>
      <c r="C7" s="14" t="n">
        <f aca="false">C5-C6</f>
        <v>6100.93220338983</v>
      </c>
      <c r="D7" s="14" t="n">
        <f aca="false">D5-D6</f>
        <v>168.64406779661</v>
      </c>
      <c r="E7" s="14" t="n">
        <f aca="false">E5-E6</f>
        <v>63558.4745762712</v>
      </c>
    </row>
    <row r="8" customFormat="false" ht="15" hidden="false" customHeight="false" outlineLevel="0" collapsed="false">
      <c r="A8" s="3" t="s">
        <v>232</v>
      </c>
      <c r="B8" s="14" t="n">
        <f aca="false">'TremoSense Costs'!C12</f>
        <v>4830.369</v>
      </c>
      <c r="C8" s="14" t="n">
        <f aca="false">Assumptions!$C$27</f>
        <v>3530</v>
      </c>
      <c r="D8" s="14" t="n">
        <f aca="false">Assumptions!$C$28</f>
        <v>40</v>
      </c>
      <c r="E8" s="14" t="n">
        <f aca="false">5*Assumptions!$C$27+Assumptions!$C$29</f>
        <v>22650</v>
      </c>
    </row>
    <row r="9" customFormat="false" ht="15" hidden="false" customHeight="false" outlineLevel="0" collapsed="false">
      <c r="A9" s="3" t="s">
        <v>233</v>
      </c>
      <c r="B9" s="14" t="n">
        <f aca="false">B5*Assumptions!$C$25</f>
        <v>476.142857142857</v>
      </c>
      <c r="C9" s="14" t="n">
        <f aca="false">C5*Assumptions!$C$25</f>
        <v>338.940677966102</v>
      </c>
      <c r="D9" s="11" t="n">
        <v>0</v>
      </c>
      <c r="E9" s="11" t="n">
        <v>0</v>
      </c>
    </row>
    <row r="10" customFormat="false" ht="15" hidden="false" customHeight="false" outlineLevel="0" collapsed="false">
      <c r="A10" s="3" t="s">
        <v>186</v>
      </c>
      <c r="B10" s="14" t="n">
        <f aca="false">Assumptions!$C$26</f>
        <v>250</v>
      </c>
      <c r="C10" s="14" t="n">
        <f aca="false">Assumptions!$C$26</f>
        <v>250</v>
      </c>
      <c r="D10" s="11" t="n">
        <v>0</v>
      </c>
      <c r="E10" s="14" t="n">
        <f aca="false">Assumptions!$C$26</f>
        <v>250</v>
      </c>
    </row>
    <row r="11" customFormat="false" ht="15" hidden="false" customHeight="false" outlineLevel="0" collapsed="false">
      <c r="A11" s="9" t="s">
        <v>234</v>
      </c>
      <c r="B11" s="14" t="n">
        <f aca="false">B7-B8-B9-B10</f>
        <v>2537.91671428571</v>
      </c>
      <c r="C11" s="14" t="n">
        <f aca="false">C7-C8-C9-C10</f>
        <v>1981.99152542373</v>
      </c>
      <c r="D11" s="14" t="n">
        <f aca="false">D7-D8-D9-D10</f>
        <v>128.64406779661</v>
      </c>
      <c r="E11" s="14" t="n">
        <f aca="false">E7-E8-E9-E10</f>
        <v>40658.4745762712</v>
      </c>
    </row>
    <row r="12" customFormat="false" ht="15" hidden="false" customHeight="false" outlineLevel="0" collapsed="false">
      <c r="A12" s="9" t="s">
        <v>235</v>
      </c>
      <c r="B12" s="18" t="n">
        <f aca="false">IF(B7=0,0,B11/B7)</f>
        <v>0.313538712694799</v>
      </c>
      <c r="C12" s="18" t="n">
        <f aca="false">IF(C7=0,0,C11/C7)</f>
        <v>0.324866997263547</v>
      </c>
      <c r="D12" s="18" t="n">
        <f aca="false">IF(D7=0,0,D11/D7)</f>
        <v>0.762814070351759</v>
      </c>
      <c r="E12" s="18" t="n">
        <f aca="false">IF(E7=0,0,E11/E7)</f>
        <v>0.639701862691503</v>
      </c>
    </row>
    <row r="13" customFormat="false" ht="15" hidden="false" customHeight="false" outlineLevel="0" collapsed="false">
      <c r="A13" s="0" t="s">
        <v>236</v>
      </c>
      <c r="B13" s="18" t="n">
        <f aca="false">IF(B7=0,0,(B7-B8)/B7)</f>
        <v>0.403247683591889</v>
      </c>
      <c r="C13" s="18" t="n">
        <f aca="false">IF(C7=0,0,(C7-C8)/C7)</f>
        <v>0.421399897209373</v>
      </c>
      <c r="D13" s="18" t="n">
        <f aca="false">IF(D7=0,0,(D7-D8)/D7)</f>
        <v>0.762814070351759</v>
      </c>
      <c r="E13" s="18" t="n">
        <f aca="false">IF(E7=0,0,(E7-E8)/E7)</f>
        <v>0.64363524846998</v>
      </c>
    </row>
    <row r="15" customFormat="false" ht="17.35" hidden="false" customHeight="false" outlineLevel="0" collapsed="false">
      <c r="A15" s="1" t="s">
        <v>237</v>
      </c>
    </row>
    <row r="16" customFormat="false" ht="23.85" hidden="false" customHeight="false" outlineLevel="0" collapsed="false">
      <c r="A16" s="2" t="s">
        <v>238</v>
      </c>
      <c r="B16" s="2" t="s">
        <v>239</v>
      </c>
      <c r="C16" s="2" t="s">
        <v>240</v>
      </c>
      <c r="D16" s="2"/>
      <c r="E16" s="2"/>
      <c r="F16" s="2" t="s">
        <v>241</v>
      </c>
    </row>
    <row r="17" customFormat="false" ht="15" hidden="false" customHeight="false" outlineLevel="0" collapsed="false">
      <c r="A17" s="3" t="s">
        <v>242</v>
      </c>
      <c r="B17" s="14" t="n">
        <f aca="false">Forecast!$AX$5/Forecast!$AX$6</f>
        <v>1078.84615384615</v>
      </c>
      <c r="C17" s="14" t="n">
        <f aca="false">Assumptions!$C$33</f>
        <v>1500</v>
      </c>
      <c r="F17" s="3" t="s">
        <v>243</v>
      </c>
    </row>
    <row r="18" customFormat="false" ht="15" hidden="false" customHeight="false" outlineLevel="0" collapsed="false">
      <c r="A18" s="3" t="s">
        <v>244</v>
      </c>
      <c r="B18" s="20" t="n">
        <v>0</v>
      </c>
      <c r="C18" s="19" t="n">
        <f aca="false">1/Assumptions!$C$31</f>
        <v>20</v>
      </c>
      <c r="F18" s="3" t="s">
        <v>245</v>
      </c>
    </row>
    <row r="19" customFormat="false" ht="15" hidden="false" customHeight="false" outlineLevel="0" collapsed="false">
      <c r="A19" s="3" t="s">
        <v>246</v>
      </c>
      <c r="B19" s="14" t="n">
        <f aca="false">B11*(1+Assumptions!$C$32)</f>
        <v>3553.0834</v>
      </c>
      <c r="C19" s="14" t="n">
        <f aca="false">C11+Assumptions!$C$34*D11*C18</f>
        <v>3011.14406779661</v>
      </c>
      <c r="F19" s="3" t="s">
        <v>247</v>
      </c>
    </row>
    <row r="20" customFormat="false" ht="15" hidden="false" customHeight="false" outlineLevel="0" collapsed="false">
      <c r="A20" s="3" t="s">
        <v>248</v>
      </c>
      <c r="B20" s="21" t="n">
        <f aca="false">IF(B17=0,0,B19/B17)</f>
        <v>3.29341063814617</v>
      </c>
      <c r="C20" s="21" t="n">
        <f aca="false">IF(C17=0,0,C19/C17)</f>
        <v>2.00742937853107</v>
      </c>
      <c r="F20" s="3" t="s">
        <v>249</v>
      </c>
    </row>
    <row r="21" customFormat="false" ht="15" hidden="false" customHeight="false" outlineLevel="0" collapsed="false">
      <c r="A21" s="3" t="s">
        <v>250</v>
      </c>
      <c r="B21" s="19" t="n">
        <f aca="false">IF(B11&gt;=B17,0,99)</f>
        <v>0</v>
      </c>
      <c r="C21" s="19" t="n">
        <f aca="false">IF(C11&gt;=C17,0,(C17-C11)/(Assumptions!$C$34*D11))</f>
        <v>0</v>
      </c>
      <c r="F21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8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252</v>
      </c>
    </row>
    <row r="3" customFormat="false" ht="23.85" hidden="false" customHeight="false" outlineLevel="0" collapsed="false">
      <c r="A3" s="2" t="s">
        <v>154</v>
      </c>
      <c r="B3" s="2" t="s">
        <v>253</v>
      </c>
      <c r="C3" s="2" t="s">
        <v>239</v>
      </c>
      <c r="D3" s="2" t="s">
        <v>254</v>
      </c>
      <c r="E3" s="9" t="s">
        <v>255</v>
      </c>
    </row>
    <row r="4" customFormat="false" ht="15" hidden="false" customHeight="false" outlineLevel="0" collapsed="false">
      <c r="A4" s="3" t="s">
        <v>256</v>
      </c>
      <c r="B4" s="22" t="n">
        <f aca="false">Assumptions!$C$4/Assumptions!$C$5</f>
        <v>1419047619.04762</v>
      </c>
      <c r="C4" s="22" t="n">
        <f aca="false">Assumptions!$C$4/Assumptions!$C$5</f>
        <v>1419047619.04762</v>
      </c>
      <c r="D4" s="3" t="s">
        <v>257</v>
      </c>
    </row>
    <row r="5" customFormat="false" ht="15" hidden="false" customHeight="false" outlineLevel="0" collapsed="false">
      <c r="A5" s="3" t="s">
        <v>258</v>
      </c>
      <c r="B5" s="22" t="n">
        <f aca="false">Assumptions!$C$4*Assumptions!$C$6</f>
        <v>460261</v>
      </c>
      <c r="C5" s="22" t="n">
        <f aca="false">Assumptions!$C$4*Assumptions!$C$6</f>
        <v>460261</v>
      </c>
      <c r="D5" s="3" t="s">
        <v>259</v>
      </c>
    </row>
    <row r="6" customFormat="false" ht="15" hidden="false" customHeight="false" outlineLevel="0" collapsed="false">
      <c r="A6" s="3" t="s">
        <v>260</v>
      </c>
      <c r="B6" s="4" t="n">
        <v>0</v>
      </c>
      <c r="C6" s="22" t="n">
        <f aca="false">B4*Assumptions!$C$7</f>
        <v>1276575.23809524</v>
      </c>
      <c r="D6" s="3" t="s">
        <v>261</v>
      </c>
    </row>
    <row r="7" customFormat="false" ht="15" hidden="false" customHeight="false" outlineLevel="0" collapsed="false">
      <c r="A7" s="3" t="s">
        <v>262</v>
      </c>
      <c r="B7" s="22" t="n">
        <f aca="false">B5</f>
        <v>460261</v>
      </c>
      <c r="C7" s="22" t="n">
        <f aca="false">(C5+C6)*Assumptions!$C$10</f>
        <v>868418.119047619</v>
      </c>
      <c r="D7" s="3" t="s">
        <v>263</v>
      </c>
      <c r="E7" s="22" t="n">
        <f aca="false">B25</f>
        <v>35000000</v>
      </c>
    </row>
    <row r="8" customFormat="false" ht="15" hidden="false" customHeight="false" outlineLevel="0" collapsed="false">
      <c r="A8" s="3" t="s">
        <v>264</v>
      </c>
      <c r="B8" s="22" t="n">
        <f aca="false">'Unit Economics'!C5/Assumptions!$C$11+Assumptions!$C$34*'Unit Economics'!D5*12</f>
        <v>3069.09604519774</v>
      </c>
      <c r="C8" s="22" t="n">
        <f aca="false">'Unit Economics'!B5/Assumptions!$C$11</f>
        <v>3174.28571428571</v>
      </c>
      <c r="D8" s="3" t="s">
        <v>265</v>
      </c>
      <c r="E8" s="14" t="n">
        <f aca="false">B8</f>
        <v>3069.09604519774</v>
      </c>
    </row>
    <row r="9" customFormat="false" ht="15" hidden="false" customHeight="false" outlineLevel="0" collapsed="false">
      <c r="A9" s="9" t="s">
        <v>266</v>
      </c>
      <c r="B9" s="14" t="n">
        <f aca="false">B7*B8</f>
        <v>1412585214.85876</v>
      </c>
      <c r="C9" s="14" t="n">
        <f aca="false">C7*C8</f>
        <v>2756607229.31973</v>
      </c>
      <c r="D9" s="3"/>
      <c r="E9" s="14" t="n">
        <f aca="false">E7*E8</f>
        <v>107418361581.921</v>
      </c>
    </row>
    <row r="10" customFormat="false" ht="15" hidden="false" customHeight="false" outlineLevel="0" collapsed="false">
      <c r="A10" s="3" t="s">
        <v>267</v>
      </c>
      <c r="B10" s="22" t="n">
        <f aca="false">B7*Assumptions!$C$8*Assumptions!$C$9</f>
        <v>57256.4684</v>
      </c>
      <c r="C10" s="22" t="n">
        <f aca="false">C7*Assumptions!$C$8*Assumptions!$C$9</f>
        <v>108031.214009524</v>
      </c>
      <c r="D10" s="3"/>
      <c r="E10" s="22" t="n">
        <f aca="false">E7*B26</f>
        <v>980000</v>
      </c>
    </row>
    <row r="11" customFormat="false" ht="15" hidden="false" customHeight="false" outlineLevel="0" collapsed="false">
      <c r="A11" s="9" t="s">
        <v>268</v>
      </c>
      <c r="B11" s="14" t="n">
        <f aca="false">B10*B8</f>
        <v>175725600.728429</v>
      </c>
      <c r="C11" s="14" t="n">
        <f aca="false">C10*C8</f>
        <v>342921939.327374</v>
      </c>
      <c r="D11" s="3"/>
      <c r="E11" s="14" t="n">
        <f aca="false">E10*E8</f>
        <v>3007714124.29379</v>
      </c>
    </row>
    <row r="12" customFormat="false" ht="15" hidden="false" customHeight="false" outlineLevel="0" collapsed="false">
      <c r="A12" s="3" t="s">
        <v>269</v>
      </c>
      <c r="B12" s="4" t="n">
        <v>30</v>
      </c>
      <c r="C12" s="4" t="n">
        <v>30</v>
      </c>
      <c r="D12" s="3" t="s">
        <v>152</v>
      </c>
    </row>
    <row r="13" customFormat="false" ht="15" hidden="false" customHeight="false" outlineLevel="0" collapsed="false">
      <c r="A13" s="3" t="s">
        <v>270</v>
      </c>
      <c r="B13" s="4" t="n">
        <v>2</v>
      </c>
      <c r="C13" s="4" t="n">
        <v>4</v>
      </c>
      <c r="D13" s="3" t="s">
        <v>152</v>
      </c>
    </row>
    <row r="14" customFormat="false" ht="15" hidden="false" customHeight="false" outlineLevel="0" collapsed="false">
      <c r="A14" s="3" t="s">
        <v>271</v>
      </c>
      <c r="B14" s="4" t="n">
        <v>60</v>
      </c>
      <c r="C14" s="4" t="n">
        <v>50</v>
      </c>
      <c r="D14" s="3" t="s">
        <v>272</v>
      </c>
    </row>
    <row r="15" customFormat="false" ht="15" hidden="false" customHeight="false" outlineLevel="0" collapsed="false">
      <c r="A15" s="3" t="s">
        <v>273</v>
      </c>
      <c r="B15" s="22" t="n">
        <f aca="false">B12*B13*12+B14*12</f>
        <v>1440</v>
      </c>
      <c r="C15" s="22" t="n">
        <f aca="false">C12*C13*12+C14*12</f>
        <v>2040</v>
      </c>
      <c r="D15" s="3" t="s">
        <v>274</v>
      </c>
      <c r="E15" s="22" t="n">
        <f aca="false">E10*B27</f>
        <v>2450</v>
      </c>
    </row>
    <row r="16" customFormat="false" ht="15" hidden="false" customHeight="false" outlineLevel="0" collapsed="false">
      <c r="A16" s="9" t="s">
        <v>275</v>
      </c>
      <c r="B16" s="14" t="n">
        <f aca="false">B15*B8</f>
        <v>4419498.30508475</v>
      </c>
      <c r="C16" s="14" t="n">
        <f aca="false">C15*C8</f>
        <v>6475542.85714286</v>
      </c>
      <c r="D16" s="3"/>
      <c r="E16" s="14" t="n">
        <f aca="false">E15*E8</f>
        <v>7519285.31073446</v>
      </c>
    </row>
    <row r="17" customFormat="false" ht="15" hidden="false" customHeight="false" outlineLevel="0" collapsed="false">
      <c r="A17" s="3" t="s">
        <v>276</v>
      </c>
      <c r="B17" s="18" t="n">
        <f aca="false">IF(B11=0,0,B16/B11)</f>
        <v>0.0251499968517094</v>
      </c>
      <c r="C17" s="18" t="n">
        <f aca="false">IF(C11=0,0,C16/C11)</f>
        <v>0.0188834312259062</v>
      </c>
      <c r="D17" s="3"/>
      <c r="E17" s="18" t="n">
        <f aca="false">IF(E11=0,0,E16/E11)</f>
        <v>0.0025</v>
      </c>
    </row>
    <row r="18" customFormat="false" ht="15" hidden="false" customHeight="false" outlineLevel="0" collapsed="false">
      <c r="E18" s="0" t="s">
        <v>277</v>
      </c>
    </row>
    <row r="19" customFormat="false" ht="15" hidden="false" customHeight="false" outlineLevel="0" collapsed="false">
      <c r="A19" s="9" t="s">
        <v>278</v>
      </c>
      <c r="B19" s="15" t="n">
        <f aca="false">B9+C9</f>
        <v>4169192444.17849</v>
      </c>
    </row>
    <row r="20" customFormat="false" ht="15" hidden="false" customHeight="false" outlineLevel="0" collapsed="false">
      <c r="A20" s="9" t="s">
        <v>279</v>
      </c>
      <c r="B20" s="15" t="n">
        <f aca="false">B11+C11</f>
        <v>518647540.055804</v>
      </c>
    </row>
    <row r="21" customFormat="false" ht="15" hidden="false" customHeight="false" outlineLevel="0" collapsed="false">
      <c r="A21" s="9" t="s">
        <v>280</v>
      </c>
      <c r="B21" s="15" t="n">
        <f aca="false">B16+C16</f>
        <v>10895041.1622276</v>
      </c>
    </row>
    <row r="22" customFormat="false" ht="15" hidden="false" customHeight="false" outlineLevel="0" collapsed="false">
      <c r="A22" s="0" t="s">
        <v>281</v>
      </c>
    </row>
    <row r="24" customFormat="false" ht="15" hidden="false" customHeight="false" outlineLevel="0" collapsed="false">
      <c r="A24" s="9" t="s">
        <v>282</v>
      </c>
    </row>
    <row r="25" customFormat="false" ht="15" hidden="false" customHeight="false" outlineLevel="0" collapsed="false">
      <c r="A25" s="0" t="s">
        <v>283</v>
      </c>
      <c r="B25" s="4" t="n">
        <v>35000000</v>
      </c>
      <c r="D25" s="16" t="s">
        <v>284</v>
      </c>
    </row>
    <row r="26" customFormat="false" ht="15" hidden="false" customHeight="false" outlineLevel="0" collapsed="false">
      <c r="A26" s="0" t="s">
        <v>285</v>
      </c>
      <c r="B26" s="5" t="n">
        <v>0.028</v>
      </c>
      <c r="D26" s="16" t="s">
        <v>286</v>
      </c>
    </row>
    <row r="27" customFormat="false" ht="15" hidden="false" customHeight="false" outlineLevel="0" collapsed="false">
      <c r="A27" s="0" t="s">
        <v>287</v>
      </c>
      <c r="B27" s="5" t="n">
        <v>0.0025</v>
      </c>
      <c r="D27" s="16" t="s">
        <v>288</v>
      </c>
    </row>
    <row r="30" customFormat="false" ht="15" hidden="false" customHeight="false" outlineLevel="0" collapsed="false">
      <c r="A30" s="9" t="s">
        <v>289</v>
      </c>
    </row>
    <row r="31" customFormat="false" ht="15" hidden="false" customHeight="false" outlineLevel="0" collapsed="false">
      <c r="A31" s="2" t="s">
        <v>290</v>
      </c>
      <c r="B31" s="2" t="s">
        <v>291</v>
      </c>
      <c r="C31" s="2" t="s">
        <v>292</v>
      </c>
      <c r="D31" s="2" t="s">
        <v>275</v>
      </c>
    </row>
    <row r="32" customFormat="false" ht="15" hidden="false" customHeight="false" outlineLevel="0" collapsed="false">
      <c r="A32" s="0" t="s">
        <v>293</v>
      </c>
      <c r="B32" s="18" t="n">
        <f aca="false">B27</f>
        <v>0.0025</v>
      </c>
      <c r="C32" s="22" t="n">
        <f aca="false">E10*B32</f>
        <v>2450</v>
      </c>
      <c r="D32" s="14" t="n">
        <f aca="false">C32*E8</f>
        <v>7519285.31073446</v>
      </c>
    </row>
    <row r="33" customFormat="false" ht="15" hidden="false" customHeight="false" outlineLevel="0" collapsed="false">
      <c r="A33" s="0" t="s">
        <v>294</v>
      </c>
      <c r="B33" s="5" t="n">
        <v>0.005</v>
      </c>
      <c r="C33" s="22" t="n">
        <f aca="false">E10*B33</f>
        <v>4900</v>
      </c>
      <c r="D33" s="14" t="n">
        <f aca="false">C33*E8</f>
        <v>15038570.6214689</v>
      </c>
    </row>
    <row r="34" customFormat="false" ht="15" hidden="false" customHeight="false" outlineLevel="0" collapsed="false">
      <c r="A34" s="0" t="s">
        <v>295</v>
      </c>
      <c r="B34" s="5" t="n">
        <v>0.01</v>
      </c>
      <c r="C34" s="22" t="n">
        <f aca="false">E10*B34</f>
        <v>9800</v>
      </c>
      <c r="D34" s="14" t="n">
        <f aca="false">C34*E8</f>
        <v>30077141.2429379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4" min="4" style="0" width="11"/>
  </cols>
  <sheetData>
    <row r="1" customFormat="false" ht="17.35" hidden="false" customHeight="false" outlineLevel="0" collapsed="false">
      <c r="A1" s="1" t="s">
        <v>296</v>
      </c>
    </row>
    <row r="3" customFormat="false" ht="23.85" hidden="false" customHeight="false" outlineLevel="0" collapsed="false">
      <c r="A3" s="2" t="s">
        <v>297</v>
      </c>
      <c r="B3" s="2" t="s">
        <v>298</v>
      </c>
      <c r="C3" s="2" t="s">
        <v>299</v>
      </c>
      <c r="D3" s="2" t="s">
        <v>300</v>
      </c>
      <c r="E3" s="2" t="s">
        <v>301</v>
      </c>
      <c r="F3" s="2" t="s">
        <v>302</v>
      </c>
      <c r="G3" s="2" t="s">
        <v>303</v>
      </c>
      <c r="H3" s="2" t="s">
        <v>304</v>
      </c>
      <c r="I3" s="2" t="s">
        <v>305</v>
      </c>
      <c r="J3" s="2" t="s">
        <v>306</v>
      </c>
      <c r="K3" s="2" t="s">
        <v>307</v>
      </c>
      <c r="L3" s="2" t="s">
        <v>308</v>
      </c>
      <c r="M3" s="2" t="s">
        <v>309</v>
      </c>
      <c r="N3" s="2" t="s">
        <v>310</v>
      </c>
      <c r="O3" s="2" t="s">
        <v>311</v>
      </c>
      <c r="P3" s="2" t="s">
        <v>312</v>
      </c>
      <c r="Q3" s="2" t="s">
        <v>313</v>
      </c>
      <c r="R3" s="2" t="s">
        <v>314</v>
      </c>
      <c r="S3" s="2" t="s">
        <v>315</v>
      </c>
      <c r="T3" s="2" t="s">
        <v>316</v>
      </c>
      <c r="U3" s="2" t="s">
        <v>317</v>
      </c>
      <c r="V3" s="2" t="s">
        <v>318</v>
      </c>
      <c r="W3" s="2" t="s">
        <v>319</v>
      </c>
      <c r="X3" s="2" t="s">
        <v>320</v>
      </c>
      <c r="Y3" s="2" t="s">
        <v>321</v>
      </c>
      <c r="Z3" s="2" t="s">
        <v>322</v>
      </c>
      <c r="AA3" s="2" t="s">
        <v>323</v>
      </c>
      <c r="AB3" s="2" t="s">
        <v>324</v>
      </c>
      <c r="AC3" s="2" t="s">
        <v>325</v>
      </c>
      <c r="AD3" s="2" t="s">
        <v>326</v>
      </c>
      <c r="AE3" s="2" t="s">
        <v>327</v>
      </c>
      <c r="AF3" s="2" t="s">
        <v>328</v>
      </c>
      <c r="AG3" s="2" t="s">
        <v>329</v>
      </c>
      <c r="AH3" s="2" t="s">
        <v>330</v>
      </c>
      <c r="AI3" s="2" t="s">
        <v>331</v>
      </c>
      <c r="AJ3" s="2" t="s">
        <v>332</v>
      </c>
      <c r="AK3" s="2" t="s">
        <v>333</v>
      </c>
      <c r="AL3" s="2" t="s">
        <v>334</v>
      </c>
      <c r="AM3" s="2" t="s">
        <v>335</v>
      </c>
      <c r="AN3" s="2" t="s">
        <v>336</v>
      </c>
      <c r="AO3" s="2" t="s">
        <v>337</v>
      </c>
      <c r="AP3" s="2" t="s">
        <v>338</v>
      </c>
      <c r="AQ3" s="2" t="s">
        <v>339</v>
      </c>
      <c r="AR3" s="2" t="s">
        <v>340</v>
      </c>
    </row>
    <row r="4" customFormat="false" ht="15" hidden="false" customHeight="false" outlineLevel="0" collapsed="false">
      <c r="A4" s="3" t="s">
        <v>341</v>
      </c>
      <c r="B4" s="3" t="s">
        <v>342</v>
      </c>
      <c r="D4" s="4" t="n">
        <v>30000</v>
      </c>
      <c r="E4" s="4" t="n">
        <v>30000</v>
      </c>
      <c r="F4" s="4" t="n">
        <v>30000</v>
      </c>
      <c r="G4" s="4" t="n">
        <v>30000</v>
      </c>
      <c r="H4" s="4" t="n">
        <v>30000</v>
      </c>
      <c r="I4" s="4" t="n">
        <v>30000</v>
      </c>
      <c r="J4" s="4" t="n">
        <v>60000</v>
      </c>
      <c r="K4" s="4" t="n">
        <v>60000</v>
      </c>
      <c r="L4" s="4" t="n">
        <v>60000</v>
      </c>
      <c r="M4" s="4" t="n">
        <v>60000</v>
      </c>
      <c r="N4" s="4" t="n">
        <v>60000</v>
      </c>
      <c r="O4" s="4" t="n">
        <v>60000</v>
      </c>
      <c r="P4" s="4" t="n">
        <v>60000</v>
      </c>
      <c r="Q4" s="4" t="n">
        <v>60000</v>
      </c>
      <c r="R4" s="4" t="n">
        <v>60000</v>
      </c>
      <c r="S4" s="4" t="n">
        <v>60000</v>
      </c>
      <c r="T4" s="4" t="n">
        <v>60000</v>
      </c>
      <c r="U4" s="4" t="n">
        <v>60000</v>
      </c>
      <c r="V4" s="4" t="n">
        <v>60000</v>
      </c>
      <c r="W4" s="4" t="n">
        <v>60000</v>
      </c>
      <c r="X4" s="4" t="n">
        <v>60000</v>
      </c>
      <c r="Y4" s="4" t="n">
        <v>60000</v>
      </c>
      <c r="Z4" s="4" t="n">
        <v>60000</v>
      </c>
      <c r="AA4" s="4" t="n">
        <v>60000</v>
      </c>
      <c r="AB4" s="4" t="n">
        <v>90000</v>
      </c>
      <c r="AC4" s="4" t="n">
        <v>90000</v>
      </c>
      <c r="AD4" s="4" t="n">
        <v>90000</v>
      </c>
      <c r="AE4" s="4" t="n">
        <v>90000</v>
      </c>
      <c r="AF4" s="4" t="n">
        <v>90000</v>
      </c>
      <c r="AG4" s="4" t="n">
        <v>90000</v>
      </c>
      <c r="AH4" s="4" t="n">
        <v>90000</v>
      </c>
      <c r="AI4" s="4" t="n">
        <v>90000</v>
      </c>
      <c r="AJ4" s="4" t="n">
        <v>90000</v>
      </c>
      <c r="AK4" s="4" t="n">
        <v>90000</v>
      </c>
      <c r="AL4" s="4" t="n">
        <v>90000</v>
      </c>
      <c r="AM4" s="4" t="n">
        <v>90000</v>
      </c>
      <c r="AN4" s="22" t="n">
        <f aca="false">SUM(D4:O4)</f>
        <v>540000</v>
      </c>
      <c r="AO4" s="22" t="n">
        <f aca="false">SUM(D4:I4)</f>
        <v>180000</v>
      </c>
      <c r="AP4" s="22" t="n">
        <f aca="false">SUM(J4:U4)</f>
        <v>720000</v>
      </c>
      <c r="AQ4" s="22" t="n">
        <f aca="false">SUM(P4:AA4)</f>
        <v>720000</v>
      </c>
      <c r="AR4" s="22" t="n">
        <f aca="false">SUM(AB4:AM4)</f>
        <v>1080000</v>
      </c>
    </row>
    <row r="5" customFormat="false" ht="15" hidden="false" customHeight="false" outlineLevel="0" collapsed="false">
      <c r="A5" s="3" t="s">
        <v>343</v>
      </c>
      <c r="B5" s="3" t="s">
        <v>239</v>
      </c>
      <c r="D5" s="4" t="n">
        <v>45000</v>
      </c>
      <c r="E5" s="4" t="n">
        <v>45000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22" t="n">
        <f aca="false">SUM(D5:O5)</f>
        <v>90000</v>
      </c>
      <c r="AO5" s="22" t="n">
        <f aca="false">SUM(D5:I5)</f>
        <v>90000</v>
      </c>
      <c r="AP5" s="22" t="n">
        <f aca="false">SUM(J5:U5)</f>
        <v>0</v>
      </c>
      <c r="AQ5" s="22" t="n">
        <f aca="false">SUM(P5:AA5)</f>
        <v>0</v>
      </c>
      <c r="AR5" s="22" t="n">
        <f aca="false">SUM(AB5:AM5)</f>
        <v>0</v>
      </c>
      <c r="AW5" s="16" t="s">
        <v>344</v>
      </c>
      <c r="AX5" s="22" t="n">
        <f aca="false">SUM(O21:AM21)+SUM(O25:AM25)</f>
        <v>2805000</v>
      </c>
    </row>
    <row r="6" customFormat="false" ht="15" hidden="false" customHeight="false" outlineLevel="0" collapsed="false">
      <c r="A6" s="3" t="s">
        <v>345</v>
      </c>
      <c r="B6" s="3" t="s">
        <v>342</v>
      </c>
      <c r="D6" s="4" t="n">
        <v>25000</v>
      </c>
      <c r="E6" s="4" t="n">
        <v>25000</v>
      </c>
      <c r="F6" s="4" t="n">
        <v>25000</v>
      </c>
      <c r="G6" s="4" t="n">
        <v>25000</v>
      </c>
      <c r="H6" s="4" t="n">
        <v>25000</v>
      </c>
      <c r="I6" s="4" t="n">
        <v>25000</v>
      </c>
      <c r="J6" s="4" t="n">
        <v>15000</v>
      </c>
      <c r="K6" s="4" t="n">
        <v>15000</v>
      </c>
      <c r="L6" s="4" t="n">
        <v>15000</v>
      </c>
      <c r="M6" s="4" t="n">
        <v>15000</v>
      </c>
      <c r="N6" s="4" t="n">
        <v>15000</v>
      </c>
      <c r="O6" s="4" t="n">
        <v>15000</v>
      </c>
      <c r="P6" s="4" t="n">
        <v>15000</v>
      </c>
      <c r="Q6" s="4" t="n">
        <v>15000</v>
      </c>
      <c r="R6" s="4" t="n">
        <v>15000</v>
      </c>
      <c r="S6" s="4" t="n">
        <v>15000</v>
      </c>
      <c r="T6" s="4" t="n">
        <v>15000</v>
      </c>
      <c r="U6" s="4" t="n">
        <v>15000</v>
      </c>
      <c r="V6" s="4" t="n">
        <v>15000</v>
      </c>
      <c r="W6" s="4" t="n">
        <v>15000</v>
      </c>
      <c r="X6" s="4" t="n">
        <v>15000</v>
      </c>
      <c r="Y6" s="4" t="n">
        <v>15000</v>
      </c>
      <c r="Z6" s="4" t="n">
        <v>15000</v>
      </c>
      <c r="AA6" s="4" t="n">
        <v>15000</v>
      </c>
      <c r="AB6" s="4" t="n">
        <v>15000</v>
      </c>
      <c r="AC6" s="4" t="n">
        <v>15000</v>
      </c>
      <c r="AD6" s="4" t="n">
        <v>15000</v>
      </c>
      <c r="AE6" s="4" t="n">
        <v>15000</v>
      </c>
      <c r="AF6" s="4" t="n">
        <v>15000</v>
      </c>
      <c r="AG6" s="4" t="n">
        <v>15000</v>
      </c>
      <c r="AH6" s="4" t="n">
        <v>15000</v>
      </c>
      <c r="AI6" s="4" t="n">
        <v>15000</v>
      </c>
      <c r="AJ6" s="4" t="n">
        <v>15000</v>
      </c>
      <c r="AK6" s="4" t="n">
        <v>15000</v>
      </c>
      <c r="AL6" s="4" t="n">
        <v>15000</v>
      </c>
      <c r="AM6" s="4" t="n">
        <v>15000</v>
      </c>
      <c r="AN6" s="22" t="n">
        <f aca="false">SUM(D6:O6)</f>
        <v>240000</v>
      </c>
      <c r="AO6" s="22" t="n">
        <f aca="false">SUM(D6:I6)</f>
        <v>150000</v>
      </c>
      <c r="AP6" s="22" t="n">
        <f aca="false">SUM(J6:U6)</f>
        <v>180000</v>
      </c>
      <c r="AQ6" s="22" t="n">
        <f aca="false">SUM(P6:AA6)</f>
        <v>180000</v>
      </c>
      <c r="AR6" s="22" t="n">
        <f aca="false">SUM(AB6:AM6)</f>
        <v>180000</v>
      </c>
      <c r="AW6" s="16" t="s">
        <v>346</v>
      </c>
      <c r="AX6" s="22" t="n">
        <f aca="false">SUM(O34:AM34)</f>
        <v>2600</v>
      </c>
    </row>
    <row r="7" customFormat="false" ht="15" hidden="false" customHeight="false" outlineLevel="0" collapsed="false">
      <c r="A7" s="3" t="s">
        <v>347</v>
      </c>
      <c r="B7" s="3" t="s">
        <v>342</v>
      </c>
      <c r="D7" s="4" t="n">
        <v>8000</v>
      </c>
      <c r="E7" s="4" t="n">
        <v>8000</v>
      </c>
      <c r="F7" s="4" t="n">
        <v>8000</v>
      </c>
      <c r="G7" s="4" t="n">
        <v>8000</v>
      </c>
      <c r="H7" s="4" t="n">
        <v>8000</v>
      </c>
      <c r="I7" s="4" t="n">
        <v>8000</v>
      </c>
      <c r="J7" s="4" t="n">
        <v>8000</v>
      </c>
      <c r="K7" s="4" t="n">
        <v>8000</v>
      </c>
      <c r="L7" s="4" t="n">
        <v>8000</v>
      </c>
      <c r="M7" s="4" t="n">
        <v>8000</v>
      </c>
      <c r="N7" s="4" t="n">
        <v>8000</v>
      </c>
      <c r="O7" s="4" t="n">
        <v>8000</v>
      </c>
      <c r="P7" s="4" t="n">
        <v>8000</v>
      </c>
      <c r="Q7" s="4" t="n">
        <v>8000</v>
      </c>
      <c r="R7" s="4" t="n">
        <v>8000</v>
      </c>
      <c r="S7" s="4" t="n">
        <v>8000</v>
      </c>
      <c r="T7" s="4" t="n">
        <v>8000</v>
      </c>
      <c r="U7" s="4" t="n">
        <v>8000</v>
      </c>
      <c r="V7" s="4" t="n">
        <v>8000</v>
      </c>
      <c r="W7" s="4" t="n">
        <v>8000</v>
      </c>
      <c r="X7" s="4" t="n">
        <v>8000</v>
      </c>
      <c r="Y7" s="4" t="n">
        <v>8000</v>
      </c>
      <c r="Z7" s="4" t="n">
        <v>8000</v>
      </c>
      <c r="AA7" s="4" t="n">
        <v>8000</v>
      </c>
      <c r="AB7" s="4" t="n">
        <v>15000</v>
      </c>
      <c r="AC7" s="4" t="n">
        <v>15000</v>
      </c>
      <c r="AD7" s="4" t="n">
        <v>15000</v>
      </c>
      <c r="AE7" s="4" t="n">
        <v>15000</v>
      </c>
      <c r="AF7" s="4" t="n">
        <v>15000</v>
      </c>
      <c r="AG7" s="4" t="n">
        <v>15000</v>
      </c>
      <c r="AH7" s="4" t="n">
        <v>15000</v>
      </c>
      <c r="AI7" s="4" t="n">
        <v>15000</v>
      </c>
      <c r="AJ7" s="4" t="n">
        <v>15000</v>
      </c>
      <c r="AK7" s="4" t="n">
        <v>15000</v>
      </c>
      <c r="AL7" s="4" t="n">
        <v>15000</v>
      </c>
      <c r="AM7" s="4" t="n">
        <v>15000</v>
      </c>
      <c r="AN7" s="22" t="n">
        <f aca="false">SUM(D7:O7)</f>
        <v>96000</v>
      </c>
      <c r="AO7" s="22" t="n">
        <f aca="false">SUM(D7:I7)</f>
        <v>48000</v>
      </c>
      <c r="AP7" s="22" t="n">
        <f aca="false">SUM(J7:U7)</f>
        <v>96000</v>
      </c>
      <c r="AQ7" s="22" t="n">
        <f aca="false">SUM(P7:AA7)</f>
        <v>96000</v>
      </c>
      <c r="AR7" s="22" t="n">
        <f aca="false">SUM(AB7:AM7)</f>
        <v>180000</v>
      </c>
    </row>
    <row r="8" customFormat="false" ht="15" hidden="false" customHeight="false" outlineLevel="0" collapsed="false">
      <c r="A8" s="3" t="s">
        <v>348</v>
      </c>
      <c r="B8" s="3" t="s">
        <v>342</v>
      </c>
      <c r="D8" s="4" t="n">
        <v>25000</v>
      </c>
      <c r="E8" s="4" t="n">
        <v>12000</v>
      </c>
      <c r="F8" s="4" t="n">
        <v>12000</v>
      </c>
      <c r="G8" s="4" t="n">
        <v>12000</v>
      </c>
      <c r="H8" s="4" t="n">
        <v>12000</v>
      </c>
      <c r="I8" s="4" t="n">
        <v>12000</v>
      </c>
      <c r="J8" s="4" t="n">
        <v>12000</v>
      </c>
      <c r="K8" s="4" t="n">
        <v>12000</v>
      </c>
      <c r="L8" s="4" t="n">
        <v>12000</v>
      </c>
      <c r="M8" s="4" t="n">
        <v>12000</v>
      </c>
      <c r="N8" s="4" t="n">
        <v>12000</v>
      </c>
      <c r="O8" s="4" t="n">
        <v>12000</v>
      </c>
      <c r="P8" s="4" t="n">
        <v>12000</v>
      </c>
      <c r="Q8" s="4" t="n">
        <v>12000</v>
      </c>
      <c r="R8" s="4" t="n">
        <v>12000</v>
      </c>
      <c r="S8" s="4" t="n">
        <v>12000</v>
      </c>
      <c r="T8" s="4" t="n">
        <v>12000</v>
      </c>
      <c r="U8" s="4" t="n">
        <v>12000</v>
      </c>
      <c r="V8" s="4" t="n">
        <v>12000</v>
      </c>
      <c r="W8" s="4" t="n">
        <v>12000</v>
      </c>
      <c r="X8" s="4" t="n">
        <v>12000</v>
      </c>
      <c r="Y8" s="4" t="n">
        <v>12000</v>
      </c>
      <c r="Z8" s="4" t="n">
        <v>12000</v>
      </c>
      <c r="AA8" s="4" t="n">
        <v>12000</v>
      </c>
      <c r="AB8" s="4" t="n">
        <v>20000</v>
      </c>
      <c r="AC8" s="4" t="n">
        <v>20000</v>
      </c>
      <c r="AD8" s="4" t="n">
        <v>20000</v>
      </c>
      <c r="AE8" s="4" t="n">
        <v>20000</v>
      </c>
      <c r="AF8" s="4" t="n">
        <v>20000</v>
      </c>
      <c r="AG8" s="4" t="n">
        <v>20000</v>
      </c>
      <c r="AH8" s="4" t="n">
        <v>20000</v>
      </c>
      <c r="AI8" s="4" t="n">
        <v>20000</v>
      </c>
      <c r="AJ8" s="4" t="n">
        <v>20000</v>
      </c>
      <c r="AK8" s="4" t="n">
        <v>20000</v>
      </c>
      <c r="AL8" s="4" t="n">
        <v>20000</v>
      </c>
      <c r="AM8" s="4" t="n">
        <v>20000</v>
      </c>
      <c r="AN8" s="22" t="n">
        <f aca="false">SUM(D8:O8)</f>
        <v>157000</v>
      </c>
      <c r="AO8" s="22" t="n">
        <f aca="false">SUM(D8:I8)</f>
        <v>85000</v>
      </c>
      <c r="AP8" s="22" t="n">
        <f aca="false">SUM(J8:U8)</f>
        <v>144000</v>
      </c>
      <c r="AQ8" s="22" t="n">
        <f aca="false">SUM(P8:AA8)</f>
        <v>144000</v>
      </c>
      <c r="AR8" s="22" t="n">
        <f aca="false">SUM(AB8:AM8)</f>
        <v>240000</v>
      </c>
    </row>
    <row r="9" customFormat="false" ht="15" hidden="false" customHeight="false" outlineLevel="0" collapsed="false">
      <c r="A9" s="3" t="s">
        <v>349</v>
      </c>
      <c r="B9" s="3" t="s">
        <v>342</v>
      </c>
      <c r="D9" s="4" t="n">
        <v>0</v>
      </c>
      <c r="E9" s="4" t="n">
        <v>55000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65000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40000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22" t="n">
        <f aca="false">SUM(D9:O9)</f>
        <v>120000</v>
      </c>
      <c r="AO9" s="22" t="n">
        <f aca="false">SUM(D9:I9)</f>
        <v>55000</v>
      </c>
      <c r="AP9" s="22" t="n">
        <f aca="false">SUM(J9:U9)</f>
        <v>65000</v>
      </c>
      <c r="AQ9" s="22" t="n">
        <f aca="false">SUM(P9:AA9)</f>
        <v>0</v>
      </c>
      <c r="AR9" s="22" t="n">
        <f aca="false">SUM(AB9:AM9)</f>
        <v>40000</v>
      </c>
    </row>
    <row r="10" customFormat="false" ht="15" hidden="false" customHeight="false" outlineLevel="0" collapsed="false">
      <c r="A10" s="3" t="s">
        <v>350</v>
      </c>
      <c r="B10" s="3" t="s">
        <v>239</v>
      </c>
      <c r="D10" s="4" t="n">
        <v>0</v>
      </c>
      <c r="E10" s="4" t="n">
        <v>0</v>
      </c>
      <c r="F10" s="22" t="n">
        <f aca="false">12*'TremoSense Costs'!B12</f>
        <v>58341.468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22" t="n">
        <f aca="false">SUM(D10:O10)</f>
        <v>58341.468</v>
      </c>
      <c r="AO10" s="22" t="n">
        <f aca="false">SUM(D10:I10)</f>
        <v>58341.468</v>
      </c>
      <c r="AP10" s="22" t="n">
        <f aca="false">SUM(J10:U10)</f>
        <v>0</v>
      </c>
      <c r="AQ10" s="22" t="n">
        <f aca="false">SUM(P10:AA10)</f>
        <v>0</v>
      </c>
      <c r="AR10" s="22" t="n">
        <f aca="false">SUM(AB10:AM10)</f>
        <v>0</v>
      </c>
    </row>
    <row r="11" customFormat="false" ht="15" hidden="false" customHeight="false" outlineLevel="0" collapsed="false">
      <c r="A11" s="3" t="s">
        <v>351</v>
      </c>
      <c r="B11" s="3" t="s">
        <v>239</v>
      </c>
      <c r="D11" s="4" t="n">
        <v>0</v>
      </c>
      <c r="E11" s="4" t="n">
        <v>0</v>
      </c>
      <c r="F11" s="4" t="n">
        <v>0</v>
      </c>
      <c r="G11" s="4" t="n">
        <v>40000</v>
      </c>
      <c r="H11" s="4" t="n">
        <v>30000</v>
      </c>
      <c r="I11" s="4" t="n">
        <v>30000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22" t="n">
        <f aca="false">SUM(D11:O11)</f>
        <v>100000</v>
      </c>
      <c r="AO11" s="22" t="n">
        <f aca="false">SUM(D11:I11)</f>
        <v>100000</v>
      </c>
      <c r="AP11" s="22" t="n">
        <f aca="false">SUM(J11:U11)</f>
        <v>0</v>
      </c>
      <c r="AQ11" s="22" t="n">
        <f aca="false">SUM(P11:AA11)</f>
        <v>0</v>
      </c>
      <c r="AR11" s="22" t="n">
        <f aca="false">SUM(AB11:AM11)</f>
        <v>0</v>
      </c>
    </row>
    <row r="12" customFormat="false" ht="15" hidden="false" customHeight="false" outlineLevel="0" collapsed="false">
      <c r="A12" s="3" t="s">
        <v>352</v>
      </c>
      <c r="B12" s="3" t="s">
        <v>239</v>
      </c>
      <c r="D12" s="4" t="n">
        <v>0</v>
      </c>
      <c r="E12" s="4" t="n">
        <v>0</v>
      </c>
      <c r="F12" s="4" t="n">
        <v>0</v>
      </c>
      <c r="G12" s="4" t="n">
        <v>30000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40000</v>
      </c>
      <c r="M12" s="4" t="n">
        <v>40000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22" t="n">
        <f aca="false">SUM(D12:O12)</f>
        <v>110000</v>
      </c>
      <c r="AO12" s="22" t="n">
        <f aca="false">SUM(D12:I12)</f>
        <v>30000</v>
      </c>
      <c r="AP12" s="22" t="n">
        <f aca="false">SUM(J12:U12)</f>
        <v>80000</v>
      </c>
      <c r="AQ12" s="22" t="n">
        <f aca="false">SUM(P12:AA12)</f>
        <v>0</v>
      </c>
      <c r="AR12" s="22" t="n">
        <f aca="false">SUM(AB12:AM12)</f>
        <v>0</v>
      </c>
    </row>
    <row r="13" customFormat="false" ht="15" hidden="false" customHeight="false" outlineLevel="0" collapsed="false">
      <c r="A13" s="3" t="s">
        <v>353</v>
      </c>
      <c r="B13" s="3" t="s">
        <v>354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110000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22" t="n">
        <f aca="false">SUM(D13:O13)</f>
        <v>110000</v>
      </c>
      <c r="AO13" s="22" t="n">
        <f aca="false">SUM(D13:I13)</f>
        <v>0</v>
      </c>
      <c r="AP13" s="22" t="n">
        <f aca="false">SUM(J13:U13)</f>
        <v>110000</v>
      </c>
      <c r="AQ13" s="22" t="n">
        <f aca="false">SUM(P13:AA13)</f>
        <v>0</v>
      </c>
      <c r="AR13" s="22" t="n">
        <f aca="false">SUM(AB13:AM13)</f>
        <v>0</v>
      </c>
    </row>
    <row r="14" customFormat="false" ht="15" hidden="false" customHeight="false" outlineLevel="0" collapsed="false">
      <c r="A14" s="3" t="s">
        <v>355</v>
      </c>
      <c r="B14" s="3" t="s">
        <v>354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25000</v>
      </c>
      <c r="L14" s="4" t="n">
        <v>25000</v>
      </c>
      <c r="M14" s="4" t="n">
        <v>25000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22" t="n">
        <f aca="false">SUM(D14:O14)</f>
        <v>75000</v>
      </c>
      <c r="AO14" s="22" t="n">
        <f aca="false">SUM(D14:I14)</f>
        <v>0</v>
      </c>
      <c r="AP14" s="22" t="n">
        <f aca="false">SUM(J14:U14)</f>
        <v>75000</v>
      </c>
      <c r="AQ14" s="22" t="n">
        <f aca="false">SUM(P14:AA14)</f>
        <v>0</v>
      </c>
      <c r="AR14" s="22" t="n">
        <f aca="false">SUM(AB14:AM14)</f>
        <v>0</v>
      </c>
    </row>
    <row r="15" customFormat="false" ht="15" hidden="false" customHeight="false" outlineLevel="0" collapsed="false">
      <c r="A15" s="3" t="s">
        <v>356</v>
      </c>
      <c r="B15" s="3" t="s">
        <v>354</v>
      </c>
      <c r="D15" s="22" t="n">
        <f aca="false">D37*5*Assumptions!$C$27</f>
        <v>0</v>
      </c>
      <c r="E15" s="22" t="n">
        <f aca="false">E37*5*Assumptions!$C$27</f>
        <v>0</v>
      </c>
      <c r="F15" s="22" t="n">
        <f aca="false">F37*5*Assumptions!$C$27</f>
        <v>0</v>
      </c>
      <c r="G15" s="22" t="n">
        <f aca="false">G37*5*Assumptions!$C$27</f>
        <v>0</v>
      </c>
      <c r="H15" s="22" t="n">
        <f aca="false">H37*5*Assumptions!$C$27</f>
        <v>0</v>
      </c>
      <c r="I15" s="22" t="n">
        <f aca="false">I37*5*Assumptions!$C$27</f>
        <v>0</v>
      </c>
      <c r="J15" s="22" t="n">
        <f aca="false">J37*5*Assumptions!$C$27</f>
        <v>0</v>
      </c>
      <c r="K15" s="22" t="n">
        <f aca="false">K37*5*Assumptions!$C$27</f>
        <v>0</v>
      </c>
      <c r="L15" s="22" t="n">
        <f aca="false">L37*5*Assumptions!$C$27</f>
        <v>0</v>
      </c>
      <c r="M15" s="22" t="n">
        <f aca="false">M37*5*Assumptions!$C$27</f>
        <v>17650</v>
      </c>
      <c r="N15" s="22" t="n">
        <f aca="false">N37*5*Assumptions!$C$27</f>
        <v>0</v>
      </c>
      <c r="O15" s="22" t="n">
        <f aca="false">O37*5*Assumptions!$C$27</f>
        <v>17650</v>
      </c>
      <c r="P15" s="22" t="n">
        <f aca="false">P37*5*Assumptions!$C$27</f>
        <v>0</v>
      </c>
      <c r="Q15" s="22" t="n">
        <f aca="false">Q37*5*Assumptions!$C$27</f>
        <v>17650</v>
      </c>
      <c r="R15" s="22" t="n">
        <f aca="false">R37*5*Assumptions!$C$27</f>
        <v>0</v>
      </c>
      <c r="S15" s="22" t="n">
        <f aca="false">S37*5*Assumptions!$C$27</f>
        <v>17650</v>
      </c>
      <c r="T15" s="22" t="n">
        <f aca="false">T37*5*Assumptions!$C$27</f>
        <v>0</v>
      </c>
      <c r="U15" s="22" t="n">
        <f aca="false">U37*5*Assumptions!$C$27</f>
        <v>17650</v>
      </c>
      <c r="V15" s="22" t="n">
        <f aca="false">V37*5*Assumptions!$C$27</f>
        <v>17650</v>
      </c>
      <c r="W15" s="22" t="n">
        <f aca="false">W37*5*Assumptions!$C$27</f>
        <v>17650</v>
      </c>
      <c r="X15" s="22" t="n">
        <f aca="false">X37*5*Assumptions!$C$27</f>
        <v>17650</v>
      </c>
      <c r="Y15" s="22" t="n">
        <f aca="false">Y37*5*Assumptions!$C$27</f>
        <v>17650</v>
      </c>
      <c r="Z15" s="22" t="n">
        <f aca="false">Z37*5*Assumptions!$C$27</f>
        <v>17650</v>
      </c>
      <c r="AA15" s="22" t="n">
        <f aca="false">AA37*5*Assumptions!$C$27</f>
        <v>17650</v>
      </c>
      <c r="AB15" s="22" t="n">
        <f aca="false">AB37*5*Assumptions!$C$27</f>
        <v>17650</v>
      </c>
      <c r="AC15" s="22" t="n">
        <f aca="false">AC37*5*Assumptions!$C$27</f>
        <v>17650</v>
      </c>
      <c r="AD15" s="22" t="n">
        <f aca="false">AD37*5*Assumptions!$C$27</f>
        <v>17650</v>
      </c>
      <c r="AE15" s="22" t="n">
        <f aca="false">AE37*5*Assumptions!$C$27</f>
        <v>17650</v>
      </c>
      <c r="AF15" s="22" t="n">
        <f aca="false">AF37*5*Assumptions!$C$27</f>
        <v>17650</v>
      </c>
      <c r="AG15" s="22" t="n">
        <f aca="false">AG37*5*Assumptions!$C$27</f>
        <v>17650</v>
      </c>
      <c r="AH15" s="22" t="n">
        <f aca="false">AH37*5*Assumptions!$C$27</f>
        <v>17650</v>
      </c>
      <c r="AI15" s="22" t="n">
        <f aca="false">AI37*5*Assumptions!$C$27</f>
        <v>17650</v>
      </c>
      <c r="AJ15" s="22" t="n">
        <f aca="false">AJ37*5*Assumptions!$C$27</f>
        <v>17650</v>
      </c>
      <c r="AK15" s="22" t="n">
        <f aca="false">AK37*5*Assumptions!$C$27</f>
        <v>17650</v>
      </c>
      <c r="AL15" s="22" t="n">
        <f aca="false">AL37*5*Assumptions!$C$27</f>
        <v>17650</v>
      </c>
      <c r="AM15" s="22" t="n">
        <f aca="false">AM37*5*Assumptions!$C$27</f>
        <v>17650</v>
      </c>
      <c r="AN15" s="22" t="n">
        <f aca="false">SUM(D15:O15)</f>
        <v>35300</v>
      </c>
      <c r="AO15" s="22" t="n">
        <f aca="false">SUM(D15:I15)</f>
        <v>0</v>
      </c>
      <c r="AP15" s="22" t="n">
        <f aca="false">SUM(J15:U15)</f>
        <v>88250</v>
      </c>
      <c r="AQ15" s="22" t="n">
        <f aca="false">SUM(P15:AA15)</f>
        <v>158850</v>
      </c>
      <c r="AR15" s="22" t="n">
        <f aca="false">SUM(AB15:AM15)</f>
        <v>211800</v>
      </c>
    </row>
    <row r="16" customFormat="false" ht="15" hidden="false" customHeight="false" outlineLevel="0" collapsed="false">
      <c r="A16" s="3" t="s">
        <v>357</v>
      </c>
      <c r="B16" s="3" t="s">
        <v>342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22" t="n">
        <f aca="false">SUM(D16:O16)</f>
        <v>0</v>
      </c>
      <c r="AO16" s="22" t="n">
        <f aca="false">SUM(D16:I16)</f>
        <v>0</v>
      </c>
      <c r="AP16" s="22" t="n">
        <f aca="false">SUM(J16:U16)</f>
        <v>0</v>
      </c>
      <c r="AQ16" s="22" t="n">
        <f aca="false">SUM(P16:AA16)</f>
        <v>0</v>
      </c>
      <c r="AR16" s="22" t="n">
        <f aca="false">SUM(AB16:AM16)</f>
        <v>0</v>
      </c>
    </row>
    <row r="17" customFormat="false" ht="15" hidden="false" customHeight="false" outlineLevel="0" collapsed="false">
      <c r="A17" s="3" t="s">
        <v>358</v>
      </c>
      <c r="B17" s="3" t="s">
        <v>342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50000</v>
      </c>
      <c r="K17" s="4" t="n">
        <v>50000</v>
      </c>
      <c r="L17" s="4" t="n">
        <v>50000</v>
      </c>
      <c r="M17" s="4" t="n">
        <v>50000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40000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40000</v>
      </c>
      <c r="AL17" s="4" t="n">
        <v>0</v>
      </c>
      <c r="AM17" s="4" t="n">
        <v>0</v>
      </c>
      <c r="AN17" s="22" t="n">
        <f aca="false">SUM(D17:O17)</f>
        <v>200000</v>
      </c>
      <c r="AO17" s="22" t="n">
        <f aca="false">SUM(D17:I17)</f>
        <v>0</v>
      </c>
      <c r="AP17" s="22" t="n">
        <f aca="false">SUM(J17:U17)</f>
        <v>200000</v>
      </c>
      <c r="AQ17" s="22" t="n">
        <f aca="false">SUM(P17:AA17)</f>
        <v>40000</v>
      </c>
      <c r="AR17" s="22" t="n">
        <f aca="false">SUM(AB17:AM17)</f>
        <v>40000</v>
      </c>
    </row>
    <row r="18" customFormat="false" ht="15" hidden="false" customHeight="false" outlineLevel="0" collapsed="false">
      <c r="A18" s="3" t="s">
        <v>359</v>
      </c>
      <c r="B18" s="3" t="s">
        <v>239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175000</v>
      </c>
      <c r="M18" s="4" t="n">
        <v>175000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22" t="n">
        <f aca="false">SUM(D18:O18)</f>
        <v>350000</v>
      </c>
      <c r="AO18" s="22" t="n">
        <f aca="false">SUM(D18:I18)</f>
        <v>0</v>
      </c>
      <c r="AP18" s="22" t="n">
        <f aca="false">SUM(J18:U18)</f>
        <v>350000</v>
      </c>
      <c r="AQ18" s="22" t="n">
        <f aca="false">SUM(P18:AA18)</f>
        <v>0</v>
      </c>
      <c r="AR18" s="22" t="n">
        <f aca="false">SUM(AB18:AM18)</f>
        <v>0</v>
      </c>
    </row>
    <row r="19" customFormat="false" ht="15" hidden="false" customHeight="false" outlineLevel="0" collapsed="false">
      <c r="A19" s="3" t="s">
        <v>360</v>
      </c>
      <c r="B19" s="3" t="s">
        <v>239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22" t="n">
        <f aca="false">100*'TremoSense Costs'!C12</f>
        <v>483036.9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22" t="n">
        <f aca="false">SUM(D19:O19)</f>
        <v>483036.9</v>
      </c>
      <c r="AO19" s="22" t="n">
        <f aca="false">SUM(D19:I19)</f>
        <v>0</v>
      </c>
      <c r="AP19" s="22" t="n">
        <f aca="false">SUM(J19:U19)</f>
        <v>483036.9</v>
      </c>
      <c r="AQ19" s="22" t="n">
        <f aca="false">SUM(P19:AA19)</f>
        <v>0</v>
      </c>
      <c r="AR19" s="22" t="n">
        <f aca="false">SUM(AB19:AM19)</f>
        <v>0</v>
      </c>
    </row>
    <row r="20" customFormat="false" ht="15" hidden="false" customHeight="false" outlineLevel="0" collapsed="false">
      <c r="A20" s="3" t="s">
        <v>361</v>
      </c>
      <c r="B20" s="3" t="s">
        <v>239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22" t="n">
        <f aca="false">R34*'TremoSense Costs'!C12</f>
        <v>241518.45</v>
      </c>
      <c r="S20" s="22" t="n">
        <f aca="false">S34*'TremoSense Costs'!C12</f>
        <v>241518.45</v>
      </c>
      <c r="T20" s="22" t="n">
        <f aca="false">T34*'TremoSense Costs'!C12</f>
        <v>241518.45</v>
      </c>
      <c r="U20" s="22" t="n">
        <f aca="false">U34*'TremoSense Costs'!C12</f>
        <v>241518.45</v>
      </c>
      <c r="V20" s="22" t="n">
        <f aca="false">V34*'TremoSense Costs'!D12</f>
        <v>163200</v>
      </c>
      <c r="W20" s="22" t="n">
        <f aca="false">W34*'TremoSense Costs'!D12</f>
        <v>176800</v>
      </c>
      <c r="X20" s="22" t="n">
        <f aca="false">X34*'TremoSense Costs'!D12</f>
        <v>190400</v>
      </c>
      <c r="Y20" s="22" t="n">
        <f aca="false">Y34*'TremoSense Costs'!D12</f>
        <v>204000</v>
      </c>
      <c r="Z20" s="22" t="n">
        <f aca="false">Z34*'TremoSense Costs'!D12</f>
        <v>217600</v>
      </c>
      <c r="AA20" s="22" t="n">
        <f aca="false">AA34*'TremoSense Costs'!D12</f>
        <v>231200</v>
      </c>
      <c r="AB20" s="22" t="n">
        <f aca="false">AB34*'TremoSense Costs'!D12</f>
        <v>353600</v>
      </c>
      <c r="AC20" s="22" t="n">
        <f aca="false">AC34*'TremoSense Costs'!D12</f>
        <v>367200</v>
      </c>
      <c r="AD20" s="22" t="n">
        <f aca="false">AD34*'TremoSense Costs'!D12</f>
        <v>380800</v>
      </c>
      <c r="AE20" s="22" t="n">
        <f aca="false">AE34*'TremoSense Costs'!D12</f>
        <v>394400</v>
      </c>
      <c r="AF20" s="22" t="n">
        <f aca="false">AF34*'TremoSense Costs'!D12</f>
        <v>408000</v>
      </c>
      <c r="AG20" s="22" t="n">
        <f aca="false">AG34*'TremoSense Costs'!D12</f>
        <v>421600</v>
      </c>
      <c r="AH20" s="22" t="n">
        <f aca="false">AH34*'TremoSense Costs'!D12</f>
        <v>435200</v>
      </c>
      <c r="AI20" s="22" t="n">
        <f aca="false">AI34*'TremoSense Costs'!D12</f>
        <v>448800</v>
      </c>
      <c r="AJ20" s="22" t="n">
        <f aca="false">AJ34*'TremoSense Costs'!D12</f>
        <v>462400</v>
      </c>
      <c r="AK20" s="22" t="n">
        <f aca="false">AK34*'TremoSense Costs'!D12</f>
        <v>476000</v>
      </c>
      <c r="AL20" s="22" t="n">
        <f aca="false">AL34*'TremoSense Costs'!D12</f>
        <v>489600</v>
      </c>
      <c r="AM20" s="22" t="n">
        <f aca="false">AM34*'TremoSense Costs'!D12</f>
        <v>503200</v>
      </c>
      <c r="AN20" s="22" t="n">
        <f aca="false">SUM(D20:O20)</f>
        <v>0</v>
      </c>
      <c r="AO20" s="22" t="n">
        <f aca="false">SUM(D20:I20)</f>
        <v>0</v>
      </c>
      <c r="AP20" s="22" t="n">
        <f aca="false">SUM(J20:U20)</f>
        <v>966073.8</v>
      </c>
      <c r="AQ20" s="22" t="n">
        <f aca="false">SUM(P20:AA20)</f>
        <v>2149273.8</v>
      </c>
      <c r="AR20" s="22" t="n">
        <f aca="false">SUM(AB20:AM20)</f>
        <v>5140800</v>
      </c>
    </row>
    <row r="21" customFormat="false" ht="15" hidden="false" customHeight="false" outlineLevel="0" collapsed="false">
      <c r="A21" s="3" t="s">
        <v>362</v>
      </c>
      <c r="B21" s="3" t="s">
        <v>239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45000</v>
      </c>
      <c r="P21" s="4" t="n">
        <v>45000</v>
      </c>
      <c r="Q21" s="4" t="n">
        <v>45000</v>
      </c>
      <c r="R21" s="4" t="n">
        <v>45000</v>
      </c>
      <c r="S21" s="4" t="n">
        <v>45000</v>
      </c>
      <c r="T21" s="4" t="n">
        <v>45000</v>
      </c>
      <c r="U21" s="4" t="n">
        <v>45000</v>
      </c>
      <c r="V21" s="4" t="n">
        <v>75000</v>
      </c>
      <c r="W21" s="4" t="n">
        <v>75000</v>
      </c>
      <c r="X21" s="4" t="n">
        <v>75000</v>
      </c>
      <c r="Y21" s="4" t="n">
        <v>75000</v>
      </c>
      <c r="Z21" s="4" t="n">
        <v>75000</v>
      </c>
      <c r="AA21" s="4" t="n">
        <v>75000</v>
      </c>
      <c r="AB21" s="4" t="n">
        <v>100000</v>
      </c>
      <c r="AC21" s="4" t="n">
        <v>100000</v>
      </c>
      <c r="AD21" s="4" t="n">
        <v>100000</v>
      </c>
      <c r="AE21" s="4" t="n">
        <v>100000</v>
      </c>
      <c r="AF21" s="4" t="n">
        <v>100000</v>
      </c>
      <c r="AG21" s="4" t="n">
        <v>100000</v>
      </c>
      <c r="AH21" s="4" t="n">
        <v>100000</v>
      </c>
      <c r="AI21" s="4" t="n">
        <v>100000</v>
      </c>
      <c r="AJ21" s="4" t="n">
        <v>100000</v>
      </c>
      <c r="AK21" s="4" t="n">
        <v>100000</v>
      </c>
      <c r="AL21" s="4" t="n">
        <v>100000</v>
      </c>
      <c r="AM21" s="4" t="n">
        <v>100000</v>
      </c>
      <c r="AN21" s="22" t="n">
        <f aca="false">SUM(D21:O21)</f>
        <v>45000</v>
      </c>
      <c r="AO21" s="22" t="n">
        <f aca="false">SUM(D21:I21)</f>
        <v>0</v>
      </c>
      <c r="AP21" s="22" t="n">
        <f aca="false">SUM(J21:U21)</f>
        <v>315000</v>
      </c>
      <c r="AQ21" s="22" t="n">
        <f aca="false">SUM(P21:AA21)</f>
        <v>720000</v>
      </c>
      <c r="AR21" s="22" t="n">
        <f aca="false">SUM(AB21:AM21)</f>
        <v>1200000</v>
      </c>
    </row>
    <row r="22" customFormat="false" ht="15" hidden="false" customHeight="false" outlineLevel="0" collapsed="false">
      <c r="A22" s="3" t="s">
        <v>363</v>
      </c>
      <c r="B22" s="3" t="s">
        <v>354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30000</v>
      </c>
      <c r="O22" s="4" t="n">
        <v>30000</v>
      </c>
      <c r="P22" s="4" t="n">
        <v>30000</v>
      </c>
      <c r="Q22" s="4" t="n">
        <v>30000</v>
      </c>
      <c r="R22" s="4" t="n">
        <v>30000</v>
      </c>
      <c r="S22" s="4" t="n">
        <v>30000</v>
      </c>
      <c r="T22" s="4" t="n">
        <v>30000</v>
      </c>
      <c r="U22" s="4" t="n">
        <v>30000</v>
      </c>
      <c r="V22" s="4" t="n">
        <v>30000</v>
      </c>
      <c r="W22" s="4" t="n">
        <v>30000</v>
      </c>
      <c r="X22" s="4" t="n">
        <v>30000</v>
      </c>
      <c r="Y22" s="4" t="n">
        <v>30000</v>
      </c>
      <c r="Z22" s="4" t="n">
        <v>30000</v>
      </c>
      <c r="AA22" s="4" t="n">
        <v>30000</v>
      </c>
      <c r="AB22" s="4" t="n">
        <v>30000</v>
      </c>
      <c r="AC22" s="4" t="n">
        <v>30000</v>
      </c>
      <c r="AD22" s="4" t="n">
        <v>30000</v>
      </c>
      <c r="AE22" s="4" t="n">
        <v>30000</v>
      </c>
      <c r="AF22" s="4" t="n">
        <v>30000</v>
      </c>
      <c r="AG22" s="4" t="n">
        <v>30000</v>
      </c>
      <c r="AH22" s="4" t="n">
        <v>30000</v>
      </c>
      <c r="AI22" s="4" t="n">
        <v>30000</v>
      </c>
      <c r="AJ22" s="4" t="n">
        <v>30000</v>
      </c>
      <c r="AK22" s="4" t="n">
        <v>30000</v>
      </c>
      <c r="AL22" s="4" t="n">
        <v>30000</v>
      </c>
      <c r="AM22" s="4" t="n">
        <v>30000</v>
      </c>
      <c r="AN22" s="22" t="n">
        <f aca="false">SUM(D22:O22)</f>
        <v>60000</v>
      </c>
      <c r="AO22" s="22" t="n">
        <f aca="false">SUM(D22:I22)</f>
        <v>0</v>
      </c>
      <c r="AP22" s="22" t="n">
        <f aca="false">SUM(J22:U22)</f>
        <v>240000</v>
      </c>
      <c r="AQ22" s="22" t="n">
        <f aca="false">SUM(P22:AA22)</f>
        <v>360000</v>
      </c>
      <c r="AR22" s="22" t="n">
        <f aca="false">SUM(AB22:AM22)</f>
        <v>360000</v>
      </c>
    </row>
    <row r="23" customFormat="false" ht="15" hidden="false" customHeight="false" outlineLevel="0" collapsed="false">
      <c r="A23" s="3" t="s">
        <v>364</v>
      </c>
      <c r="B23" s="3" t="s">
        <v>342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35000</v>
      </c>
      <c r="W23" s="4" t="n">
        <v>35000</v>
      </c>
      <c r="X23" s="4" t="n">
        <v>35000</v>
      </c>
      <c r="Y23" s="4" t="n">
        <v>35000</v>
      </c>
      <c r="Z23" s="4" t="n">
        <v>35000</v>
      </c>
      <c r="AA23" s="4" t="n">
        <v>35000</v>
      </c>
      <c r="AB23" s="4" t="n">
        <v>35000</v>
      </c>
      <c r="AC23" s="4" t="n">
        <v>35000</v>
      </c>
      <c r="AD23" s="4" t="n">
        <v>35000</v>
      </c>
      <c r="AE23" s="4" t="n">
        <v>35000</v>
      </c>
      <c r="AF23" s="4" t="n">
        <v>35000</v>
      </c>
      <c r="AG23" s="4" t="n">
        <v>35000</v>
      </c>
      <c r="AH23" s="4" t="n">
        <v>35000</v>
      </c>
      <c r="AI23" s="4" t="n">
        <v>35000</v>
      </c>
      <c r="AJ23" s="4" t="n">
        <v>35000</v>
      </c>
      <c r="AK23" s="4" t="n">
        <v>35000</v>
      </c>
      <c r="AL23" s="4" t="n">
        <v>35000</v>
      </c>
      <c r="AM23" s="4" t="n">
        <v>35000</v>
      </c>
      <c r="AN23" s="22" t="n">
        <f aca="false">SUM(D23:O23)</f>
        <v>0</v>
      </c>
      <c r="AO23" s="22" t="n">
        <f aca="false">SUM(D23:I23)</f>
        <v>0</v>
      </c>
      <c r="AP23" s="22" t="n">
        <f aca="false">SUM(J23:U23)</f>
        <v>0</v>
      </c>
      <c r="AQ23" s="22" t="n">
        <f aca="false">SUM(P23:AA23)</f>
        <v>210000</v>
      </c>
      <c r="AR23" s="22" t="n">
        <f aca="false">SUM(AB23:AM23)</f>
        <v>420000</v>
      </c>
    </row>
    <row r="24" customFormat="false" ht="15" hidden="false" customHeight="false" outlineLevel="0" collapsed="false">
      <c r="A24" s="3" t="s">
        <v>365</v>
      </c>
      <c r="B24" s="3" t="s">
        <v>239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50000</v>
      </c>
      <c r="W24" s="4" t="n">
        <v>50000</v>
      </c>
      <c r="X24" s="4" t="n">
        <v>50000</v>
      </c>
      <c r="Y24" s="4" t="n">
        <v>50000</v>
      </c>
      <c r="Z24" s="4" t="n">
        <v>50000</v>
      </c>
      <c r="AA24" s="4" t="n">
        <v>50000</v>
      </c>
      <c r="AB24" s="4" t="n">
        <v>50000</v>
      </c>
      <c r="AC24" s="4" t="n">
        <v>50000</v>
      </c>
      <c r="AD24" s="4" t="n">
        <v>50000</v>
      </c>
      <c r="AE24" s="4" t="n">
        <v>50000</v>
      </c>
      <c r="AF24" s="4" t="n">
        <v>50000</v>
      </c>
      <c r="AG24" s="4" t="n">
        <v>50000</v>
      </c>
      <c r="AH24" s="4" t="n">
        <v>50000</v>
      </c>
      <c r="AI24" s="4" t="n">
        <v>50000</v>
      </c>
      <c r="AJ24" s="4" t="n">
        <v>50000</v>
      </c>
      <c r="AK24" s="4" t="n">
        <v>50000</v>
      </c>
      <c r="AL24" s="4" t="n">
        <v>50000</v>
      </c>
      <c r="AM24" s="4" t="n">
        <v>50000</v>
      </c>
      <c r="AN24" s="22" t="n">
        <f aca="false">SUM(D24:O24)</f>
        <v>0</v>
      </c>
      <c r="AO24" s="22" t="n">
        <f aca="false">SUM(D24:I24)</f>
        <v>0</v>
      </c>
      <c r="AP24" s="22" t="n">
        <f aca="false">SUM(J24:U24)</f>
        <v>0</v>
      </c>
      <c r="AQ24" s="22" t="n">
        <f aca="false">SUM(P24:AA24)</f>
        <v>300000</v>
      </c>
      <c r="AR24" s="22" t="n">
        <f aca="false">SUM(AB24:AM24)</f>
        <v>600000</v>
      </c>
    </row>
    <row r="25" customFormat="false" ht="15" hidden="false" customHeight="false" outlineLevel="0" collapsed="false">
      <c r="A25" s="3" t="s">
        <v>366</v>
      </c>
      <c r="B25" s="3" t="s">
        <v>354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70000</v>
      </c>
      <c r="AC25" s="4" t="n">
        <v>70000</v>
      </c>
      <c r="AD25" s="4" t="n">
        <v>70000</v>
      </c>
      <c r="AE25" s="4" t="n">
        <v>70000</v>
      </c>
      <c r="AF25" s="4" t="n">
        <v>70000</v>
      </c>
      <c r="AG25" s="4" t="n">
        <v>70000</v>
      </c>
      <c r="AH25" s="4" t="n">
        <v>70000</v>
      </c>
      <c r="AI25" s="4" t="n">
        <v>70000</v>
      </c>
      <c r="AJ25" s="4" t="n">
        <v>70000</v>
      </c>
      <c r="AK25" s="4" t="n">
        <v>70000</v>
      </c>
      <c r="AL25" s="4" t="n">
        <v>70000</v>
      </c>
      <c r="AM25" s="4" t="n">
        <v>70000</v>
      </c>
      <c r="AN25" s="22" t="n">
        <f aca="false">SUM(D25:O25)</f>
        <v>0</v>
      </c>
      <c r="AO25" s="22" t="n">
        <f aca="false">SUM(D25:I25)</f>
        <v>0</v>
      </c>
      <c r="AP25" s="22" t="n">
        <f aca="false">SUM(J25:U25)</f>
        <v>0</v>
      </c>
      <c r="AQ25" s="22" t="n">
        <f aca="false">SUM(P25:AA25)</f>
        <v>0</v>
      </c>
      <c r="AR25" s="22" t="n">
        <f aca="false">SUM(AB25:AM25)</f>
        <v>840000</v>
      </c>
    </row>
    <row r="26" customFormat="false" ht="15" hidden="false" customHeight="false" outlineLevel="0" collapsed="false">
      <c r="A26" s="3" t="s">
        <v>367</v>
      </c>
      <c r="B26" s="3" t="s">
        <v>239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22" t="n">
        <f aca="false">Assumptions!$C$30</f>
        <v>700000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22" t="n">
        <f aca="false">SUM(D26:O26)</f>
        <v>0</v>
      </c>
      <c r="AO26" s="22" t="n">
        <f aca="false">SUM(D26:I26)</f>
        <v>0</v>
      </c>
      <c r="AP26" s="22" t="n">
        <f aca="false">SUM(J26:U26)</f>
        <v>700000</v>
      </c>
      <c r="AQ26" s="22" t="n">
        <f aca="false">SUM(P26:AA26)</f>
        <v>700000</v>
      </c>
      <c r="AR26" s="22" t="n">
        <f aca="false">SUM(AB26:AM26)</f>
        <v>0</v>
      </c>
    </row>
    <row r="27" customFormat="false" ht="15" hidden="false" customHeight="false" outlineLevel="0" collapsed="false">
      <c r="A27" s="3" t="s">
        <v>368</v>
      </c>
      <c r="B27" s="3" t="s">
        <v>354</v>
      </c>
      <c r="D27" s="22" t="n">
        <f aca="false">D39*Assumptions!$C$27</f>
        <v>0</v>
      </c>
      <c r="E27" s="22" t="n">
        <f aca="false">E39*Assumptions!$C$27</f>
        <v>0</v>
      </c>
      <c r="F27" s="22" t="n">
        <f aca="false">F39*Assumptions!$C$27</f>
        <v>0</v>
      </c>
      <c r="G27" s="22" t="n">
        <f aca="false">G39*Assumptions!$C$27</f>
        <v>0</v>
      </c>
      <c r="H27" s="22" t="n">
        <f aca="false">H39*Assumptions!$C$27</f>
        <v>0</v>
      </c>
      <c r="I27" s="22" t="n">
        <f aca="false">I39*Assumptions!$C$27</f>
        <v>0</v>
      </c>
      <c r="J27" s="22" t="n">
        <f aca="false">J39*Assumptions!$C$27</f>
        <v>0</v>
      </c>
      <c r="K27" s="22" t="n">
        <f aca="false">K39*Assumptions!$C$27</f>
        <v>0</v>
      </c>
      <c r="L27" s="22" t="n">
        <f aca="false">L39*Assumptions!$C$27</f>
        <v>0</v>
      </c>
      <c r="M27" s="22" t="n">
        <f aca="false">M39*Assumptions!$C$27</f>
        <v>0</v>
      </c>
      <c r="N27" s="22" t="n">
        <f aca="false">N39*Assumptions!$C$27</f>
        <v>0</v>
      </c>
      <c r="O27" s="22" t="n">
        <f aca="false">O39*Assumptions!$C$27</f>
        <v>0</v>
      </c>
      <c r="P27" s="22" t="n">
        <f aca="false">P39*Assumptions!$C$27</f>
        <v>0</v>
      </c>
      <c r="Q27" s="22" t="n">
        <f aca="false">Q39*Assumptions!$C$27</f>
        <v>0</v>
      </c>
      <c r="R27" s="22" t="n">
        <f aca="false">R39*Assumptions!$C$27</f>
        <v>0</v>
      </c>
      <c r="S27" s="22" t="n">
        <f aca="false">S39*Assumptions!$C$27</f>
        <v>0</v>
      </c>
      <c r="T27" s="22" t="n">
        <f aca="false">T39*Assumptions!$C$27</f>
        <v>0</v>
      </c>
      <c r="U27" s="22" t="n">
        <f aca="false">U39*Assumptions!$C$27</f>
        <v>0</v>
      </c>
      <c r="V27" s="22" t="n">
        <f aca="false">V39*Assumptions!$C$27</f>
        <v>0</v>
      </c>
      <c r="W27" s="22" t="n">
        <f aca="false">W39*Assumptions!$C$27</f>
        <v>0</v>
      </c>
      <c r="X27" s="22" t="n">
        <f aca="false">X39*Assumptions!$C$27</f>
        <v>0</v>
      </c>
      <c r="Y27" s="22" t="n">
        <f aca="false">Y39*Assumptions!$C$27</f>
        <v>0</v>
      </c>
      <c r="Z27" s="22" t="n">
        <f aca="false">Z39*Assumptions!$C$27</f>
        <v>0</v>
      </c>
      <c r="AA27" s="22" t="n">
        <f aca="false">AA39*Assumptions!$C$27</f>
        <v>0</v>
      </c>
      <c r="AB27" s="22" t="n">
        <f aca="false">AB39*Assumptions!$C$27</f>
        <v>211800</v>
      </c>
      <c r="AC27" s="22" t="n">
        <f aca="false">AC39*Assumptions!$C$27</f>
        <v>247100</v>
      </c>
      <c r="AD27" s="22" t="n">
        <f aca="false">AD39*Assumptions!$C$27</f>
        <v>282400</v>
      </c>
      <c r="AE27" s="22" t="n">
        <f aca="false">AE39*Assumptions!$C$27</f>
        <v>317700</v>
      </c>
      <c r="AF27" s="22" t="n">
        <f aca="false">AF39*Assumptions!$C$27</f>
        <v>353000</v>
      </c>
      <c r="AG27" s="22" t="n">
        <f aca="false">AG39*Assumptions!$C$27</f>
        <v>388300</v>
      </c>
      <c r="AH27" s="22" t="n">
        <f aca="false">AH39*Assumptions!$C$27</f>
        <v>423600</v>
      </c>
      <c r="AI27" s="22" t="n">
        <f aca="false">AI39*Assumptions!$C$27</f>
        <v>458900</v>
      </c>
      <c r="AJ27" s="22" t="n">
        <f aca="false">AJ39*Assumptions!$C$27</f>
        <v>494200</v>
      </c>
      <c r="AK27" s="22" t="n">
        <f aca="false">AK39*Assumptions!$C$27</f>
        <v>529500</v>
      </c>
      <c r="AL27" s="22" t="n">
        <f aca="false">AL39*Assumptions!$C$27</f>
        <v>564800</v>
      </c>
      <c r="AM27" s="22" t="n">
        <f aca="false">AM39*Assumptions!$C$27</f>
        <v>600100</v>
      </c>
      <c r="AN27" s="22" t="n">
        <f aca="false">SUM(D27:O27)</f>
        <v>0</v>
      </c>
      <c r="AO27" s="22" t="n">
        <f aca="false">SUM(D27:I27)</f>
        <v>0</v>
      </c>
      <c r="AP27" s="22" t="n">
        <f aca="false">SUM(J27:U27)</f>
        <v>0</v>
      </c>
      <c r="AQ27" s="22" t="n">
        <f aca="false">SUM(P27:AA27)</f>
        <v>0</v>
      </c>
      <c r="AR27" s="22" t="n">
        <f aca="false">SUM(AB27:AM27)</f>
        <v>4871400</v>
      </c>
    </row>
    <row r="28" customFormat="false" ht="15" hidden="false" customHeight="false" outlineLevel="0" collapsed="false">
      <c r="A28" s="3" t="s">
        <v>369</v>
      </c>
      <c r="B28" s="3" t="s">
        <v>354</v>
      </c>
      <c r="D28" s="22" t="n">
        <f aca="false">D39*Assumptions!$C$33</f>
        <v>0</v>
      </c>
      <c r="E28" s="22" t="n">
        <f aca="false">E39*Assumptions!$C$33</f>
        <v>0</v>
      </c>
      <c r="F28" s="22" t="n">
        <f aca="false">F39*Assumptions!$C$33</f>
        <v>0</v>
      </c>
      <c r="G28" s="22" t="n">
        <f aca="false">G39*Assumptions!$C$33</f>
        <v>0</v>
      </c>
      <c r="H28" s="22" t="n">
        <f aca="false">H39*Assumptions!$C$33</f>
        <v>0</v>
      </c>
      <c r="I28" s="22" t="n">
        <f aca="false">I39*Assumptions!$C$33</f>
        <v>0</v>
      </c>
      <c r="J28" s="22" t="n">
        <f aca="false">J39*Assumptions!$C$33</f>
        <v>0</v>
      </c>
      <c r="K28" s="22" t="n">
        <f aca="false">K39*Assumptions!$C$33</f>
        <v>0</v>
      </c>
      <c r="L28" s="22" t="n">
        <f aca="false">L39*Assumptions!$C$33</f>
        <v>0</v>
      </c>
      <c r="M28" s="22" t="n">
        <f aca="false">M39*Assumptions!$C$33</f>
        <v>0</v>
      </c>
      <c r="N28" s="22" t="n">
        <f aca="false">N39*Assumptions!$C$33</f>
        <v>0</v>
      </c>
      <c r="O28" s="22" t="n">
        <f aca="false">O39*Assumptions!$C$33</f>
        <v>0</v>
      </c>
      <c r="P28" s="22" t="n">
        <f aca="false">P39*Assumptions!$C$33</f>
        <v>0</v>
      </c>
      <c r="Q28" s="22" t="n">
        <f aca="false">Q39*Assumptions!$C$33</f>
        <v>0</v>
      </c>
      <c r="R28" s="22" t="n">
        <f aca="false">R39*Assumptions!$C$33</f>
        <v>0</v>
      </c>
      <c r="S28" s="22" t="n">
        <f aca="false">S39*Assumptions!$C$33</f>
        <v>0</v>
      </c>
      <c r="T28" s="22" t="n">
        <f aca="false">T39*Assumptions!$C$33</f>
        <v>0</v>
      </c>
      <c r="U28" s="22" t="n">
        <f aca="false">U39*Assumptions!$C$33</f>
        <v>0</v>
      </c>
      <c r="V28" s="22" t="n">
        <f aca="false">V39*Assumptions!$C$33</f>
        <v>0</v>
      </c>
      <c r="W28" s="22" t="n">
        <f aca="false">W39*Assumptions!$C$33</f>
        <v>0</v>
      </c>
      <c r="X28" s="22" t="n">
        <f aca="false">X39*Assumptions!$C$33</f>
        <v>0</v>
      </c>
      <c r="Y28" s="22" t="n">
        <f aca="false">Y39*Assumptions!$C$33</f>
        <v>0</v>
      </c>
      <c r="Z28" s="22" t="n">
        <f aca="false">Z39*Assumptions!$C$33</f>
        <v>0</v>
      </c>
      <c r="AA28" s="22" t="n">
        <f aca="false">AA39*Assumptions!$C$33</f>
        <v>0</v>
      </c>
      <c r="AB28" s="22" t="n">
        <f aca="false">AB39*Assumptions!$C$33</f>
        <v>90000</v>
      </c>
      <c r="AC28" s="22" t="n">
        <f aca="false">AC39*Assumptions!$C$33</f>
        <v>105000</v>
      </c>
      <c r="AD28" s="22" t="n">
        <f aca="false">AD39*Assumptions!$C$33</f>
        <v>120000</v>
      </c>
      <c r="AE28" s="22" t="n">
        <f aca="false">AE39*Assumptions!$C$33</f>
        <v>135000</v>
      </c>
      <c r="AF28" s="22" t="n">
        <f aca="false">AF39*Assumptions!$C$33</f>
        <v>150000</v>
      </c>
      <c r="AG28" s="22" t="n">
        <f aca="false">AG39*Assumptions!$C$33</f>
        <v>165000</v>
      </c>
      <c r="AH28" s="22" t="n">
        <f aca="false">AH39*Assumptions!$C$33</f>
        <v>180000</v>
      </c>
      <c r="AI28" s="22" t="n">
        <f aca="false">AI39*Assumptions!$C$33</f>
        <v>195000</v>
      </c>
      <c r="AJ28" s="22" t="n">
        <f aca="false">AJ39*Assumptions!$C$33</f>
        <v>210000</v>
      </c>
      <c r="AK28" s="22" t="n">
        <f aca="false">AK39*Assumptions!$C$33</f>
        <v>225000</v>
      </c>
      <c r="AL28" s="22" t="n">
        <f aca="false">AL39*Assumptions!$C$33</f>
        <v>240000</v>
      </c>
      <c r="AM28" s="22" t="n">
        <f aca="false">AM39*Assumptions!$C$33</f>
        <v>255000</v>
      </c>
      <c r="AN28" s="22" t="n">
        <f aca="false">SUM(D28:O28)</f>
        <v>0</v>
      </c>
      <c r="AO28" s="22" t="n">
        <f aca="false">SUM(D28:I28)</f>
        <v>0</v>
      </c>
      <c r="AP28" s="22" t="n">
        <f aca="false">SUM(J28:U28)</f>
        <v>0</v>
      </c>
      <c r="AQ28" s="22" t="n">
        <f aca="false">SUM(P28:AA28)</f>
        <v>0</v>
      </c>
      <c r="AR28" s="22" t="n">
        <f aca="false">SUM(AB28:AM28)</f>
        <v>2070000</v>
      </c>
    </row>
    <row r="29" customFormat="false" ht="15" hidden="false" customHeight="false" outlineLevel="0" collapsed="false">
      <c r="A29" s="3" t="s">
        <v>370</v>
      </c>
      <c r="B29" s="3" t="s">
        <v>354</v>
      </c>
      <c r="D29" s="22" t="n">
        <f aca="false">D41*Assumptions!$C$28</f>
        <v>0</v>
      </c>
      <c r="E29" s="22" t="n">
        <f aca="false">E41*Assumptions!$C$28</f>
        <v>0</v>
      </c>
      <c r="F29" s="22" t="n">
        <f aca="false">F41*Assumptions!$C$28</f>
        <v>0</v>
      </c>
      <c r="G29" s="22" t="n">
        <f aca="false">G41*Assumptions!$C$28</f>
        <v>0</v>
      </c>
      <c r="H29" s="22" t="n">
        <f aca="false">H41*Assumptions!$C$28</f>
        <v>0</v>
      </c>
      <c r="I29" s="22" t="n">
        <f aca="false">I41*Assumptions!$C$28</f>
        <v>0</v>
      </c>
      <c r="J29" s="22" t="n">
        <f aca="false">J41*Assumptions!$C$28</f>
        <v>0</v>
      </c>
      <c r="K29" s="22" t="n">
        <f aca="false">K41*Assumptions!$C$28</f>
        <v>0</v>
      </c>
      <c r="L29" s="22" t="n">
        <f aca="false">L41*Assumptions!$C$28</f>
        <v>0</v>
      </c>
      <c r="M29" s="22" t="n">
        <f aca="false">M41*Assumptions!$C$28</f>
        <v>0</v>
      </c>
      <c r="N29" s="22" t="n">
        <f aca="false">N41*Assumptions!$C$28</f>
        <v>0</v>
      </c>
      <c r="O29" s="22" t="n">
        <f aca="false">O41*Assumptions!$C$28</f>
        <v>0</v>
      </c>
      <c r="P29" s="22" t="n">
        <f aca="false">P41*Assumptions!$C$28</f>
        <v>0</v>
      </c>
      <c r="Q29" s="22" t="n">
        <f aca="false">Q41*Assumptions!$C$28</f>
        <v>0</v>
      </c>
      <c r="R29" s="22" t="n">
        <f aca="false">R41*Assumptions!$C$28</f>
        <v>0</v>
      </c>
      <c r="S29" s="22" t="n">
        <f aca="false">S41*Assumptions!$C$28</f>
        <v>0</v>
      </c>
      <c r="T29" s="22" t="n">
        <f aca="false">T41*Assumptions!$C$28</f>
        <v>0</v>
      </c>
      <c r="U29" s="22" t="n">
        <f aca="false">U41*Assumptions!$C$28</f>
        <v>0</v>
      </c>
      <c r="V29" s="22" t="n">
        <f aca="false">V41*Assumptions!$C$28</f>
        <v>0</v>
      </c>
      <c r="W29" s="22" t="n">
        <f aca="false">W41*Assumptions!$C$28</f>
        <v>0</v>
      </c>
      <c r="X29" s="22" t="n">
        <f aca="false">X41*Assumptions!$C$28</f>
        <v>0</v>
      </c>
      <c r="Y29" s="22" t="n">
        <f aca="false">Y41*Assumptions!$C$28</f>
        <v>0</v>
      </c>
      <c r="Z29" s="22" t="n">
        <f aca="false">Z41*Assumptions!$C$28</f>
        <v>0</v>
      </c>
      <c r="AA29" s="22" t="n">
        <f aca="false">AA41*Assumptions!$C$28</f>
        <v>0</v>
      </c>
      <c r="AB29" s="22" t="n">
        <f aca="false">AB41*Assumptions!$C$28</f>
        <v>960</v>
      </c>
      <c r="AC29" s="22" t="n">
        <f aca="false">AC41*Assumptions!$C$28</f>
        <v>2032</v>
      </c>
      <c r="AD29" s="22" t="n">
        <f aca="false">AD41*Assumptions!$C$28</f>
        <v>3210.4</v>
      </c>
      <c r="AE29" s="22" t="n">
        <f aca="false">AE41*Assumptions!$C$28</f>
        <v>4489.88</v>
      </c>
      <c r="AF29" s="22" t="n">
        <f aca="false">AF41*Assumptions!$C$28</f>
        <v>5865.386</v>
      </c>
      <c r="AG29" s="22" t="n">
        <f aca="false">AG41*Assumptions!$C$28</f>
        <v>7332.1167</v>
      </c>
      <c r="AH29" s="22" t="n">
        <f aca="false">AH41*Assumptions!$C$28</f>
        <v>8885.510865</v>
      </c>
      <c r="AI29" s="22" t="n">
        <f aca="false">AI41*Assumptions!$C$28</f>
        <v>10521.23532175</v>
      </c>
      <c r="AJ29" s="22" t="n">
        <f aca="false">AJ41*Assumptions!$C$28</f>
        <v>12235.1735556625</v>
      </c>
      <c r="AK29" s="22" t="n">
        <f aca="false">AK41*Assumptions!$C$28</f>
        <v>14023.4148778794</v>
      </c>
      <c r="AL29" s="22" t="n">
        <f aca="false">AL41*Assumptions!$C$28</f>
        <v>15882.2441339854</v>
      </c>
      <c r="AM29" s="22" t="n">
        <f aca="false">AM41*Assumptions!$C$28</f>
        <v>17808.1319272861</v>
      </c>
      <c r="AN29" s="22" t="n">
        <f aca="false">SUM(D29:O29)</f>
        <v>0</v>
      </c>
      <c r="AO29" s="22" t="n">
        <f aca="false">SUM(D29:I29)</f>
        <v>0</v>
      </c>
      <c r="AP29" s="22" t="n">
        <f aca="false">SUM(J29:U29)</f>
        <v>0</v>
      </c>
      <c r="AQ29" s="22" t="n">
        <f aca="false">SUM(P29:AA29)</f>
        <v>0</v>
      </c>
      <c r="AR29" s="22" t="n">
        <f aca="false">SUM(AB29:AM29)</f>
        <v>103245.493381563</v>
      </c>
    </row>
    <row r="30" customFormat="false" ht="15" hidden="false" customHeight="false" outlineLevel="0" collapsed="false">
      <c r="A30" s="9" t="s">
        <v>371</v>
      </c>
      <c r="D30" s="23" t="n">
        <f aca="false">SUM(D4:D29)</f>
        <v>133000</v>
      </c>
      <c r="E30" s="23" t="n">
        <f aca="false">SUM(E4:E29)</f>
        <v>175000</v>
      </c>
      <c r="F30" s="23" t="n">
        <f aca="false">SUM(F4:F29)</f>
        <v>133341.468</v>
      </c>
      <c r="G30" s="23" t="n">
        <f aca="false">SUM(G4:G29)</f>
        <v>145000</v>
      </c>
      <c r="H30" s="23" t="n">
        <f aca="false">SUM(H4:H29)</f>
        <v>105000</v>
      </c>
      <c r="I30" s="23" t="n">
        <f aca="false">SUM(I4:I29)</f>
        <v>105000</v>
      </c>
      <c r="J30" s="23" t="n">
        <f aca="false">SUM(J4:J29)</f>
        <v>255000</v>
      </c>
      <c r="K30" s="23" t="n">
        <f aca="false">SUM(K4:K29)</f>
        <v>170000</v>
      </c>
      <c r="L30" s="23" t="n">
        <f aca="false">SUM(L4:L29)</f>
        <v>385000</v>
      </c>
      <c r="M30" s="23" t="n">
        <f aca="false">SUM(M4:M29)</f>
        <v>402650</v>
      </c>
      <c r="N30" s="23" t="n">
        <f aca="false">SUM(N4:N29)</f>
        <v>608036.9</v>
      </c>
      <c r="O30" s="23" t="n">
        <f aca="false">SUM(O4:O29)</f>
        <v>252650</v>
      </c>
      <c r="P30" s="23" t="n">
        <f aca="false">SUM(P4:P29)</f>
        <v>170000</v>
      </c>
      <c r="Q30" s="23" t="n">
        <f aca="false">SUM(Q4:Q29)</f>
        <v>187650</v>
      </c>
      <c r="R30" s="23" t="n">
        <f aca="false">SUM(R4:R29)</f>
        <v>411518.45</v>
      </c>
      <c r="S30" s="23" t="n">
        <f aca="false">SUM(S4:S29)</f>
        <v>429168.45</v>
      </c>
      <c r="T30" s="23" t="n">
        <f aca="false">SUM(T4:T29)</f>
        <v>411518.45</v>
      </c>
      <c r="U30" s="23" t="n">
        <f aca="false">SUM(U4:U29)</f>
        <v>1129168.45</v>
      </c>
      <c r="V30" s="23" t="n">
        <f aca="false">SUM(V4:V29)</f>
        <v>465850</v>
      </c>
      <c r="W30" s="23" t="n">
        <f aca="false">SUM(W4:W29)</f>
        <v>479450</v>
      </c>
      <c r="X30" s="23" t="n">
        <f aca="false">SUM(X4:X29)</f>
        <v>493050</v>
      </c>
      <c r="Y30" s="23" t="n">
        <f aca="false">SUM(Y4:Y29)</f>
        <v>546650</v>
      </c>
      <c r="Z30" s="23" t="n">
        <f aca="false">SUM(Z4:Z29)</f>
        <v>520250</v>
      </c>
      <c r="AA30" s="23" t="n">
        <f aca="false">SUM(AA4:AA29)</f>
        <v>533850</v>
      </c>
      <c r="AB30" s="23" t="n">
        <f aca="false">SUM(AB4:AB29)</f>
        <v>1099010</v>
      </c>
      <c r="AC30" s="23" t="n">
        <f aca="false">SUM(AC4:AC29)</f>
        <v>1163982</v>
      </c>
      <c r="AD30" s="23" t="n">
        <f aca="false">SUM(AD4:AD29)</f>
        <v>1229060.4</v>
      </c>
      <c r="AE30" s="23" t="n">
        <f aca="false">SUM(AE4:AE29)</f>
        <v>1294239.88</v>
      </c>
      <c r="AF30" s="23" t="n">
        <f aca="false">SUM(AF4:AF29)</f>
        <v>1359515.386</v>
      </c>
      <c r="AG30" s="23" t="n">
        <f aca="false">SUM(AG4:AG29)</f>
        <v>1464882.1167</v>
      </c>
      <c r="AH30" s="23" t="n">
        <f aca="false">SUM(AH4:AH29)</f>
        <v>1490335.510865</v>
      </c>
      <c r="AI30" s="23" t="n">
        <f aca="false">SUM(AI4:AI29)</f>
        <v>1555871.23532175</v>
      </c>
      <c r="AJ30" s="23" t="n">
        <f aca="false">SUM(AJ4:AJ29)</f>
        <v>1621485.17355566</v>
      </c>
      <c r="AK30" s="23" t="n">
        <f aca="false">SUM(AK4:AK29)</f>
        <v>1727173.41487788</v>
      </c>
      <c r="AL30" s="23" t="n">
        <f aca="false">SUM(AL4:AL29)</f>
        <v>1752932.24413399</v>
      </c>
      <c r="AM30" s="23" t="n">
        <f aca="false">SUM(AM4:AM29)</f>
        <v>1818758.13192729</v>
      </c>
      <c r="AN30" s="23" t="n">
        <f aca="false">SUM(D30:O30)</f>
        <v>2869678.368</v>
      </c>
      <c r="AO30" s="23" t="n">
        <f aca="false">SUM(D30:I30)</f>
        <v>796341.468</v>
      </c>
      <c r="AP30" s="23" t="n">
        <f aca="false">SUM(J30:U30)</f>
        <v>4812360.7</v>
      </c>
      <c r="AQ30" s="23" t="n">
        <f aca="false">SUM(P30:AA30)</f>
        <v>5778123.8</v>
      </c>
      <c r="AR30" s="23" t="n">
        <f aca="false">SUM(AB30:AM30)</f>
        <v>17577245.4933816</v>
      </c>
    </row>
    <row r="31" customFormat="false" ht="15" hidden="false" customHeight="false" outlineLevel="0" collapsed="false">
      <c r="A31" s="9" t="s">
        <v>372</v>
      </c>
      <c r="D31" s="22" t="n">
        <f aca="false">D30*Assumptions!$C$35</f>
        <v>13300</v>
      </c>
      <c r="E31" s="22" t="n">
        <f aca="false">E30*Assumptions!$C$35</f>
        <v>17500</v>
      </c>
      <c r="F31" s="22" t="n">
        <f aca="false">F30*Assumptions!$C$35</f>
        <v>13334.1468</v>
      </c>
      <c r="G31" s="22" t="n">
        <f aca="false">G30*Assumptions!$C$35</f>
        <v>14500</v>
      </c>
      <c r="H31" s="22" t="n">
        <f aca="false">H30*Assumptions!$C$35</f>
        <v>10500</v>
      </c>
      <c r="I31" s="22" t="n">
        <f aca="false">I30*Assumptions!$C$35</f>
        <v>10500</v>
      </c>
      <c r="J31" s="22" t="n">
        <f aca="false">J30*Assumptions!$C$35</f>
        <v>25500</v>
      </c>
      <c r="K31" s="22" t="n">
        <f aca="false">K30*Assumptions!$C$35</f>
        <v>17000</v>
      </c>
      <c r="L31" s="22" t="n">
        <f aca="false">L30*Assumptions!$C$35</f>
        <v>38500</v>
      </c>
      <c r="M31" s="22" t="n">
        <f aca="false">M30*Assumptions!$C$35</f>
        <v>40265</v>
      </c>
      <c r="N31" s="22" t="n">
        <f aca="false">N30*Assumptions!$C$35</f>
        <v>60803.69</v>
      </c>
      <c r="O31" s="22" t="n">
        <f aca="false">O30*Assumptions!$C$35</f>
        <v>25265</v>
      </c>
      <c r="P31" s="22" t="n">
        <f aca="false">P30*Assumptions!$C$35</f>
        <v>17000</v>
      </c>
      <c r="Q31" s="22" t="n">
        <f aca="false">Q30*Assumptions!$C$35</f>
        <v>18765</v>
      </c>
      <c r="R31" s="22" t="n">
        <f aca="false">R30*Assumptions!$C$35</f>
        <v>41151.845</v>
      </c>
      <c r="S31" s="22" t="n">
        <f aca="false">S30*Assumptions!$C$35</f>
        <v>42916.845</v>
      </c>
      <c r="T31" s="22" t="n">
        <f aca="false">T30*Assumptions!$C$35</f>
        <v>41151.845</v>
      </c>
      <c r="U31" s="22" t="n">
        <f aca="false">U30*Assumptions!$C$35</f>
        <v>112916.845</v>
      </c>
      <c r="V31" s="22" t="n">
        <f aca="false">V30*Assumptions!$C$35</f>
        <v>46585</v>
      </c>
      <c r="W31" s="22" t="n">
        <f aca="false">W30*Assumptions!$C$35</f>
        <v>47945</v>
      </c>
      <c r="X31" s="22" t="n">
        <f aca="false">X30*Assumptions!$C$35</f>
        <v>49305</v>
      </c>
      <c r="Y31" s="22" t="n">
        <f aca="false">Y30*Assumptions!$C$35</f>
        <v>54665</v>
      </c>
      <c r="Z31" s="22" t="n">
        <f aca="false">Z30*Assumptions!$C$35</f>
        <v>52025</v>
      </c>
      <c r="AA31" s="22" t="n">
        <f aca="false">AA30*Assumptions!$C$35</f>
        <v>53385</v>
      </c>
      <c r="AB31" s="22" t="n">
        <f aca="false">AB30*Assumptions!$C$35</f>
        <v>109901</v>
      </c>
      <c r="AC31" s="22" t="n">
        <f aca="false">AC30*Assumptions!$C$35</f>
        <v>116398.2</v>
      </c>
      <c r="AD31" s="22" t="n">
        <f aca="false">AD30*Assumptions!$C$35</f>
        <v>122906.04</v>
      </c>
      <c r="AE31" s="22" t="n">
        <f aca="false">AE30*Assumptions!$C$35</f>
        <v>129423.988</v>
      </c>
      <c r="AF31" s="22" t="n">
        <f aca="false">AF30*Assumptions!$C$35</f>
        <v>135951.5386</v>
      </c>
      <c r="AG31" s="22" t="n">
        <f aca="false">AG30*Assumptions!$C$35</f>
        <v>146488.21167</v>
      </c>
      <c r="AH31" s="22" t="n">
        <f aca="false">AH30*Assumptions!$C$35</f>
        <v>149033.5510865</v>
      </c>
      <c r="AI31" s="22" t="n">
        <f aca="false">AI30*Assumptions!$C$35</f>
        <v>155587.123532175</v>
      </c>
      <c r="AJ31" s="22" t="n">
        <f aca="false">AJ30*Assumptions!$C$35</f>
        <v>162148.517355566</v>
      </c>
      <c r="AK31" s="22" t="n">
        <f aca="false">AK30*Assumptions!$C$35</f>
        <v>172717.341487788</v>
      </c>
      <c r="AL31" s="22" t="n">
        <f aca="false">AL30*Assumptions!$C$35</f>
        <v>175293.224413399</v>
      </c>
      <c r="AM31" s="22" t="n">
        <f aca="false">AM30*Assumptions!$C$35</f>
        <v>181875.813192729</v>
      </c>
      <c r="AN31" s="23" t="n">
        <f aca="false">SUM(D31:O31)</f>
        <v>286967.8368</v>
      </c>
      <c r="AO31" s="23" t="n">
        <f aca="false">SUM(D31:I31)</f>
        <v>79634.1468</v>
      </c>
      <c r="AP31" s="23" t="n">
        <f aca="false">SUM(J31:U31)</f>
        <v>481236.07</v>
      </c>
      <c r="AQ31" s="23" t="n">
        <f aca="false">SUM(P31:AA31)</f>
        <v>577812.38</v>
      </c>
      <c r="AR31" s="23" t="n">
        <f aca="false">SUM(AB31:AM31)</f>
        <v>1757724.54933816</v>
      </c>
    </row>
    <row r="32" customFormat="false" ht="15" hidden="false" customHeight="false" outlineLevel="0" collapsed="false">
      <c r="A32" s="9" t="s">
        <v>373</v>
      </c>
      <c r="D32" s="23" t="n">
        <f aca="false">D30+D31</f>
        <v>146300</v>
      </c>
      <c r="E32" s="23" t="n">
        <f aca="false">E30+E31</f>
        <v>192500</v>
      </c>
      <c r="F32" s="23" t="n">
        <f aca="false">F30+F31</f>
        <v>146675.6148</v>
      </c>
      <c r="G32" s="23" t="n">
        <f aca="false">G30+G31</f>
        <v>159500</v>
      </c>
      <c r="H32" s="23" t="n">
        <f aca="false">H30+H31</f>
        <v>115500</v>
      </c>
      <c r="I32" s="23" t="n">
        <f aca="false">I30+I31</f>
        <v>115500</v>
      </c>
      <c r="J32" s="23" t="n">
        <f aca="false">J30+J31</f>
        <v>280500</v>
      </c>
      <c r="K32" s="23" t="n">
        <f aca="false">K30+K31</f>
        <v>187000</v>
      </c>
      <c r="L32" s="23" t="n">
        <f aca="false">L30+L31</f>
        <v>423500</v>
      </c>
      <c r="M32" s="23" t="n">
        <f aca="false">M30+M31</f>
        <v>442915</v>
      </c>
      <c r="N32" s="23" t="n">
        <f aca="false">N30+N31</f>
        <v>668840.59</v>
      </c>
      <c r="O32" s="23" t="n">
        <f aca="false">O30+O31</f>
        <v>277915</v>
      </c>
      <c r="P32" s="23" t="n">
        <f aca="false">P30+P31</f>
        <v>187000</v>
      </c>
      <c r="Q32" s="23" t="n">
        <f aca="false">Q30+Q31</f>
        <v>206415</v>
      </c>
      <c r="R32" s="23" t="n">
        <f aca="false">R30+R31</f>
        <v>452670.295</v>
      </c>
      <c r="S32" s="23" t="n">
        <f aca="false">S30+S31</f>
        <v>472085.295</v>
      </c>
      <c r="T32" s="23" t="n">
        <f aca="false">T30+T31</f>
        <v>452670.295</v>
      </c>
      <c r="U32" s="23" t="n">
        <f aca="false">U30+U31</f>
        <v>1242085.295</v>
      </c>
      <c r="V32" s="23" t="n">
        <f aca="false">V30+V31</f>
        <v>512435</v>
      </c>
      <c r="W32" s="23" t="n">
        <f aca="false">W30+W31</f>
        <v>527395</v>
      </c>
      <c r="X32" s="23" t="n">
        <f aca="false">X30+X31</f>
        <v>542355</v>
      </c>
      <c r="Y32" s="23" t="n">
        <f aca="false">Y30+Y31</f>
        <v>601315</v>
      </c>
      <c r="Z32" s="23" t="n">
        <f aca="false">Z30+Z31</f>
        <v>572275</v>
      </c>
      <c r="AA32" s="23" t="n">
        <f aca="false">AA30+AA31</f>
        <v>587235</v>
      </c>
      <c r="AB32" s="23" t="n">
        <f aca="false">AB30+AB31</f>
        <v>1208911</v>
      </c>
      <c r="AC32" s="23" t="n">
        <f aca="false">AC30+AC31</f>
        <v>1280380.2</v>
      </c>
      <c r="AD32" s="23" t="n">
        <f aca="false">AD30+AD31</f>
        <v>1351966.44</v>
      </c>
      <c r="AE32" s="23" t="n">
        <f aca="false">AE30+AE31</f>
        <v>1423663.868</v>
      </c>
      <c r="AF32" s="23" t="n">
        <f aca="false">AF30+AF31</f>
        <v>1495466.9246</v>
      </c>
      <c r="AG32" s="23" t="n">
        <f aca="false">AG30+AG31</f>
        <v>1611370.32837</v>
      </c>
      <c r="AH32" s="23" t="n">
        <f aca="false">AH30+AH31</f>
        <v>1639369.0619515</v>
      </c>
      <c r="AI32" s="23" t="n">
        <f aca="false">AI30+AI31</f>
        <v>1711458.35885393</v>
      </c>
      <c r="AJ32" s="23" t="n">
        <f aca="false">AJ30+AJ31</f>
        <v>1783633.69091123</v>
      </c>
      <c r="AK32" s="23" t="n">
        <f aca="false">AK30+AK31</f>
        <v>1899890.75636567</v>
      </c>
      <c r="AL32" s="23" t="n">
        <f aca="false">AL30+AL31</f>
        <v>1928225.46854738</v>
      </c>
      <c r="AM32" s="23" t="n">
        <f aca="false">AM30+AM31</f>
        <v>2000633.94512001</v>
      </c>
      <c r="AN32" s="23" t="n">
        <f aca="false">SUM(D32:O32)</f>
        <v>3156646.2048</v>
      </c>
      <c r="AO32" s="23" t="n">
        <f aca="false">SUM(D32:I32)</f>
        <v>875975.6148</v>
      </c>
      <c r="AP32" s="23" t="n">
        <f aca="false">SUM(J32:U32)</f>
        <v>5293596.77</v>
      </c>
      <c r="AQ32" s="23" t="n">
        <f aca="false">SUM(P32:AA32)</f>
        <v>6355936.18</v>
      </c>
      <c r="AR32" s="23" t="n">
        <f aca="false">SUM(AB32:AM32)</f>
        <v>19334970.0427197</v>
      </c>
    </row>
    <row r="34" customFormat="false" ht="15" hidden="false" customHeight="false" outlineLevel="0" collapsed="false">
      <c r="A34" s="3" t="s">
        <v>374</v>
      </c>
      <c r="B34" s="3" t="s">
        <v>239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15</v>
      </c>
      <c r="P34" s="4" t="n">
        <v>25</v>
      </c>
      <c r="Q34" s="4" t="n">
        <v>35</v>
      </c>
      <c r="R34" s="4" t="n">
        <v>50</v>
      </c>
      <c r="S34" s="4" t="n">
        <v>50</v>
      </c>
      <c r="T34" s="4" t="n">
        <v>50</v>
      </c>
      <c r="U34" s="4" t="n">
        <v>50</v>
      </c>
      <c r="V34" s="4" t="n">
        <v>60</v>
      </c>
      <c r="W34" s="4" t="n">
        <v>65</v>
      </c>
      <c r="X34" s="4" t="n">
        <v>70</v>
      </c>
      <c r="Y34" s="4" t="n">
        <v>75</v>
      </c>
      <c r="Z34" s="4" t="n">
        <v>80</v>
      </c>
      <c r="AA34" s="4" t="n">
        <v>85</v>
      </c>
      <c r="AB34" s="4" t="n">
        <v>130</v>
      </c>
      <c r="AC34" s="4" t="n">
        <v>135</v>
      </c>
      <c r="AD34" s="4" t="n">
        <v>140</v>
      </c>
      <c r="AE34" s="4" t="n">
        <v>145</v>
      </c>
      <c r="AF34" s="4" t="n">
        <v>150</v>
      </c>
      <c r="AG34" s="4" t="n">
        <v>155</v>
      </c>
      <c r="AH34" s="4" t="n">
        <v>160</v>
      </c>
      <c r="AI34" s="4" t="n">
        <v>165</v>
      </c>
      <c r="AJ34" s="4" t="n">
        <v>170</v>
      </c>
      <c r="AK34" s="4" t="n">
        <v>175</v>
      </c>
      <c r="AL34" s="4" t="n">
        <v>180</v>
      </c>
      <c r="AM34" s="4" t="n">
        <v>185</v>
      </c>
      <c r="AN34" s="22" t="n">
        <f aca="false">SUM(D34:O34)</f>
        <v>15</v>
      </c>
      <c r="AO34" s="22" t="n">
        <f aca="false">SUM(D34:I34)</f>
        <v>0</v>
      </c>
      <c r="AP34" s="22" t="n">
        <f aca="false">SUM(J34:U34)</f>
        <v>275</v>
      </c>
      <c r="AQ34" s="22" t="n">
        <f aca="false">SUM(P34:AA34)</f>
        <v>695</v>
      </c>
      <c r="AR34" s="22" t="n">
        <f aca="false">SUM(AB34:AM34)</f>
        <v>1890</v>
      </c>
    </row>
    <row r="35" customFormat="false" ht="15" hidden="false" customHeight="false" outlineLevel="0" collapsed="false">
      <c r="A35" s="3" t="s">
        <v>375</v>
      </c>
      <c r="B35" s="3" t="s">
        <v>239</v>
      </c>
      <c r="D35" s="22" t="n">
        <f aca="false">(IF(1&lt;=18,Assumptions!$C$12,Assumptions!$C$14)/(1+Assumptions!$C$18))*(1-Assumptions!$C$20-Assumptions!$C$25)-Assumptions!$C$26</f>
        <v>7368.28571428571</v>
      </c>
      <c r="E35" s="22" t="n">
        <f aca="false">(IF(2&lt;=18,Assumptions!$C$12,Assumptions!$C$14)/(1+Assumptions!$C$18))*(1-Assumptions!$C$20-Assumptions!$C$25)-Assumptions!$C$26</f>
        <v>7368.28571428571</v>
      </c>
      <c r="F35" s="22" t="n">
        <f aca="false">(IF(3&lt;=18,Assumptions!$C$12,Assumptions!$C$14)/(1+Assumptions!$C$18))*(1-Assumptions!$C$20-Assumptions!$C$25)-Assumptions!$C$26</f>
        <v>7368.28571428571</v>
      </c>
      <c r="G35" s="22" t="n">
        <f aca="false">(IF(4&lt;=18,Assumptions!$C$12,Assumptions!$C$14)/(1+Assumptions!$C$18))*(1-Assumptions!$C$20-Assumptions!$C$25)-Assumptions!$C$26</f>
        <v>7368.28571428571</v>
      </c>
      <c r="H35" s="22" t="n">
        <f aca="false">(IF(5&lt;=18,Assumptions!$C$12,Assumptions!$C$14)/(1+Assumptions!$C$18))*(1-Assumptions!$C$20-Assumptions!$C$25)-Assumptions!$C$26</f>
        <v>7368.28571428571</v>
      </c>
      <c r="I35" s="22" t="n">
        <f aca="false">(IF(6&lt;=18,Assumptions!$C$12,Assumptions!$C$14)/(1+Assumptions!$C$18))*(1-Assumptions!$C$20-Assumptions!$C$25)-Assumptions!$C$26</f>
        <v>7368.28571428571</v>
      </c>
      <c r="J35" s="22" t="n">
        <f aca="false">(IF(7&lt;=18,Assumptions!$C$12,Assumptions!$C$14)/(1+Assumptions!$C$18))*(1-Assumptions!$C$20-Assumptions!$C$25)-Assumptions!$C$26</f>
        <v>7368.28571428571</v>
      </c>
      <c r="K35" s="22" t="n">
        <f aca="false">(IF(8&lt;=18,Assumptions!$C$12,Assumptions!$C$14)/(1+Assumptions!$C$18))*(1-Assumptions!$C$20-Assumptions!$C$25)-Assumptions!$C$26</f>
        <v>7368.28571428571</v>
      </c>
      <c r="L35" s="22" t="n">
        <f aca="false">(IF(9&lt;=18,Assumptions!$C$12,Assumptions!$C$14)/(1+Assumptions!$C$18))*(1-Assumptions!$C$20-Assumptions!$C$25)-Assumptions!$C$26</f>
        <v>7368.28571428571</v>
      </c>
      <c r="M35" s="22" t="n">
        <f aca="false">(IF(10&lt;=18,Assumptions!$C$12,Assumptions!$C$14)/(1+Assumptions!$C$18))*(1-Assumptions!$C$20-Assumptions!$C$25)-Assumptions!$C$26</f>
        <v>7368.28571428571</v>
      </c>
      <c r="N35" s="22" t="n">
        <f aca="false">(IF(11&lt;=18,Assumptions!$C$12,Assumptions!$C$14)/(1+Assumptions!$C$18))*(1-Assumptions!$C$20-Assumptions!$C$25)-Assumptions!$C$26</f>
        <v>7368.28571428571</v>
      </c>
      <c r="O35" s="22" t="n">
        <f aca="false">(IF(12&lt;=18,Assumptions!$C$12,Assumptions!$C$14)/(1+Assumptions!$C$18))*(1-Assumptions!$C$20-Assumptions!$C$25)-Assumptions!$C$26</f>
        <v>7368.28571428571</v>
      </c>
      <c r="P35" s="22" t="n">
        <f aca="false">(IF(13&lt;=18,Assumptions!$C$12,Assumptions!$C$14)/(1+Assumptions!$C$18))*(1-Assumptions!$C$20-Assumptions!$C$25)-Assumptions!$C$26</f>
        <v>7368.28571428571</v>
      </c>
      <c r="Q35" s="22" t="n">
        <f aca="false">(IF(14&lt;=18,Assumptions!$C$12,Assumptions!$C$14)/(1+Assumptions!$C$18))*(1-Assumptions!$C$20-Assumptions!$C$25)-Assumptions!$C$26</f>
        <v>7368.28571428571</v>
      </c>
      <c r="R35" s="22" t="n">
        <f aca="false">(IF(15&lt;=18,Assumptions!$C$12,Assumptions!$C$14)/(1+Assumptions!$C$18))*(1-Assumptions!$C$20-Assumptions!$C$25)-Assumptions!$C$26</f>
        <v>7368.28571428571</v>
      </c>
      <c r="S35" s="22" t="n">
        <f aca="false">(IF(16&lt;=18,Assumptions!$C$12,Assumptions!$C$14)/(1+Assumptions!$C$18))*(1-Assumptions!$C$20-Assumptions!$C$25)-Assumptions!$C$26</f>
        <v>7368.28571428571</v>
      </c>
      <c r="T35" s="22" t="n">
        <f aca="false">(IF(17&lt;=18,Assumptions!$C$12,Assumptions!$C$14)/(1+Assumptions!$C$18))*(1-Assumptions!$C$20-Assumptions!$C$25)-Assumptions!$C$26</f>
        <v>7368.28571428571</v>
      </c>
      <c r="U35" s="22" t="n">
        <f aca="false">(IF(18&lt;=18,Assumptions!$C$12,Assumptions!$C$14)/(1+Assumptions!$C$18))*(1-Assumptions!$C$20-Assumptions!$C$25)-Assumptions!$C$26</f>
        <v>7368.28571428571</v>
      </c>
      <c r="V35" s="22" t="n">
        <f aca="false">(IF(19&lt;=18,Assumptions!$C$12,Assumptions!$C$14)/(1+Assumptions!$C$18))*(1-Assumptions!$C$20-Assumptions!$C$25)-Assumptions!$C$26</f>
        <v>6606.38095238095</v>
      </c>
      <c r="W35" s="22" t="n">
        <f aca="false">(IF(20&lt;=18,Assumptions!$C$12,Assumptions!$C$14)/(1+Assumptions!$C$18))*(1-Assumptions!$C$20-Assumptions!$C$25)-Assumptions!$C$26</f>
        <v>6606.38095238095</v>
      </c>
      <c r="X35" s="22" t="n">
        <f aca="false">(IF(21&lt;=18,Assumptions!$C$12,Assumptions!$C$14)/(1+Assumptions!$C$18))*(1-Assumptions!$C$20-Assumptions!$C$25)-Assumptions!$C$26</f>
        <v>6606.38095238095</v>
      </c>
      <c r="Y35" s="22" t="n">
        <f aca="false">(IF(22&lt;=18,Assumptions!$C$12,Assumptions!$C$14)/(1+Assumptions!$C$18))*(1-Assumptions!$C$20-Assumptions!$C$25)-Assumptions!$C$26</f>
        <v>6606.38095238095</v>
      </c>
      <c r="Z35" s="22" t="n">
        <f aca="false">(IF(23&lt;=18,Assumptions!$C$12,Assumptions!$C$14)/(1+Assumptions!$C$18))*(1-Assumptions!$C$20-Assumptions!$C$25)-Assumptions!$C$26</f>
        <v>6606.38095238095</v>
      </c>
      <c r="AA35" s="22" t="n">
        <f aca="false">(IF(24&lt;=18,Assumptions!$C$12,Assumptions!$C$14)/(1+Assumptions!$C$18))*(1-Assumptions!$C$20-Assumptions!$C$25)-Assumptions!$C$26</f>
        <v>6606.38095238095</v>
      </c>
      <c r="AB35" s="22" t="n">
        <f aca="false">(IF(25&lt;=18,Assumptions!$C$12,Assumptions!$C$14)/(1+Assumptions!$C$18))*(1-Assumptions!$C$20-Assumptions!$C$25)-Assumptions!$C$26</f>
        <v>6606.38095238095</v>
      </c>
      <c r="AC35" s="22" t="n">
        <f aca="false">(IF(26&lt;=18,Assumptions!$C$12,Assumptions!$C$14)/(1+Assumptions!$C$18))*(1-Assumptions!$C$20-Assumptions!$C$25)-Assumptions!$C$26</f>
        <v>6606.38095238095</v>
      </c>
      <c r="AD35" s="22" t="n">
        <f aca="false">(IF(27&lt;=18,Assumptions!$C$12,Assumptions!$C$14)/(1+Assumptions!$C$18))*(1-Assumptions!$C$20-Assumptions!$C$25)-Assumptions!$C$26</f>
        <v>6606.38095238095</v>
      </c>
      <c r="AE35" s="22" t="n">
        <f aca="false">(IF(28&lt;=18,Assumptions!$C$12,Assumptions!$C$14)/(1+Assumptions!$C$18))*(1-Assumptions!$C$20-Assumptions!$C$25)-Assumptions!$C$26</f>
        <v>6606.38095238095</v>
      </c>
      <c r="AF35" s="22" t="n">
        <f aca="false">(IF(29&lt;=18,Assumptions!$C$12,Assumptions!$C$14)/(1+Assumptions!$C$18))*(1-Assumptions!$C$20-Assumptions!$C$25)-Assumptions!$C$26</f>
        <v>6606.38095238095</v>
      </c>
      <c r="AG35" s="22" t="n">
        <f aca="false">(IF(30&lt;=18,Assumptions!$C$12,Assumptions!$C$14)/(1+Assumptions!$C$18))*(1-Assumptions!$C$20-Assumptions!$C$25)-Assumptions!$C$26</f>
        <v>6606.38095238095</v>
      </c>
      <c r="AH35" s="22" t="n">
        <f aca="false">(IF(31&lt;=18,Assumptions!$C$12,Assumptions!$C$14)/(1+Assumptions!$C$18))*(1-Assumptions!$C$20-Assumptions!$C$25)-Assumptions!$C$26</f>
        <v>6606.38095238095</v>
      </c>
      <c r="AI35" s="22" t="n">
        <f aca="false">(IF(32&lt;=18,Assumptions!$C$12,Assumptions!$C$14)/(1+Assumptions!$C$18))*(1-Assumptions!$C$20-Assumptions!$C$25)-Assumptions!$C$26</f>
        <v>6606.38095238095</v>
      </c>
      <c r="AJ35" s="22" t="n">
        <f aca="false">(IF(33&lt;=18,Assumptions!$C$12,Assumptions!$C$14)/(1+Assumptions!$C$18))*(1-Assumptions!$C$20-Assumptions!$C$25)-Assumptions!$C$26</f>
        <v>6606.38095238095</v>
      </c>
      <c r="AK35" s="22" t="n">
        <f aca="false">(IF(34&lt;=18,Assumptions!$C$12,Assumptions!$C$14)/(1+Assumptions!$C$18))*(1-Assumptions!$C$20-Assumptions!$C$25)-Assumptions!$C$26</f>
        <v>6606.38095238095</v>
      </c>
      <c r="AL35" s="22" t="n">
        <f aca="false">(IF(35&lt;=18,Assumptions!$C$12,Assumptions!$C$14)/(1+Assumptions!$C$18))*(1-Assumptions!$C$20-Assumptions!$C$25)-Assumptions!$C$26</f>
        <v>6606.38095238095</v>
      </c>
      <c r="AM35" s="22" t="n">
        <f aca="false">(IF(36&lt;=18,Assumptions!$C$12,Assumptions!$C$14)/(1+Assumptions!$C$18))*(1-Assumptions!$C$20-Assumptions!$C$25)-Assumptions!$C$26</f>
        <v>6606.38095238095</v>
      </c>
    </row>
    <row r="36" customFormat="false" ht="15" hidden="false" customHeight="false" outlineLevel="0" collapsed="false">
      <c r="A36" s="3" t="s">
        <v>376</v>
      </c>
      <c r="B36" s="3" t="s">
        <v>239</v>
      </c>
      <c r="D36" s="22" t="n">
        <f aca="false">D34*D35</f>
        <v>0</v>
      </c>
      <c r="E36" s="22" t="n">
        <f aca="false">E34*E35</f>
        <v>0</v>
      </c>
      <c r="F36" s="22" t="n">
        <f aca="false">F34*F35</f>
        <v>0</v>
      </c>
      <c r="G36" s="22" t="n">
        <f aca="false">G34*G35</f>
        <v>0</v>
      </c>
      <c r="H36" s="22" t="n">
        <f aca="false">H34*H35</f>
        <v>0</v>
      </c>
      <c r="I36" s="22" t="n">
        <f aca="false">I34*I35</f>
        <v>0</v>
      </c>
      <c r="J36" s="22" t="n">
        <f aca="false">J34*J35</f>
        <v>0</v>
      </c>
      <c r="K36" s="22" t="n">
        <f aca="false">K34*K35</f>
        <v>0</v>
      </c>
      <c r="L36" s="22" t="n">
        <f aca="false">L34*L35</f>
        <v>0</v>
      </c>
      <c r="M36" s="22" t="n">
        <f aca="false">M34*M35</f>
        <v>0</v>
      </c>
      <c r="N36" s="22" t="n">
        <f aca="false">N34*N35</f>
        <v>0</v>
      </c>
      <c r="O36" s="22" t="n">
        <f aca="false">O34*O35</f>
        <v>110524.285714286</v>
      </c>
      <c r="P36" s="22" t="n">
        <f aca="false">P34*P35</f>
        <v>184207.142857143</v>
      </c>
      <c r="Q36" s="22" t="n">
        <f aca="false">Q34*Q35</f>
        <v>257890</v>
      </c>
      <c r="R36" s="22" t="n">
        <f aca="false">R34*R35</f>
        <v>368414.285714286</v>
      </c>
      <c r="S36" s="22" t="n">
        <f aca="false">S34*S35</f>
        <v>368414.285714286</v>
      </c>
      <c r="T36" s="22" t="n">
        <f aca="false">T34*T35</f>
        <v>368414.285714286</v>
      </c>
      <c r="U36" s="22" t="n">
        <f aca="false">U34*U35</f>
        <v>368414.285714286</v>
      </c>
      <c r="V36" s="22" t="n">
        <f aca="false">V34*V35</f>
        <v>396382.857142857</v>
      </c>
      <c r="W36" s="22" t="n">
        <f aca="false">W34*W35</f>
        <v>429414.761904762</v>
      </c>
      <c r="X36" s="22" t="n">
        <f aca="false">X34*X35</f>
        <v>462446.666666667</v>
      </c>
      <c r="Y36" s="22" t="n">
        <f aca="false">Y34*Y35</f>
        <v>495478.571428571</v>
      </c>
      <c r="Z36" s="22" t="n">
        <f aca="false">Z34*Z35</f>
        <v>528510.476190476</v>
      </c>
      <c r="AA36" s="22" t="n">
        <f aca="false">AA34*AA35</f>
        <v>561542.380952381</v>
      </c>
      <c r="AB36" s="22" t="n">
        <f aca="false">AB34*AB35</f>
        <v>858829.523809524</v>
      </c>
      <c r="AC36" s="22" t="n">
        <f aca="false">AC34*AC35</f>
        <v>891861.428571429</v>
      </c>
      <c r="AD36" s="22" t="n">
        <f aca="false">AD34*AD35</f>
        <v>924893.333333333</v>
      </c>
      <c r="AE36" s="22" t="n">
        <f aca="false">AE34*AE35</f>
        <v>957925.238095238</v>
      </c>
      <c r="AF36" s="22" t="n">
        <f aca="false">AF34*AF35</f>
        <v>990957.142857143</v>
      </c>
      <c r="AG36" s="22" t="n">
        <f aca="false">AG34*AG35</f>
        <v>1023989.04761905</v>
      </c>
      <c r="AH36" s="22" t="n">
        <f aca="false">AH34*AH35</f>
        <v>1057020.95238095</v>
      </c>
      <c r="AI36" s="22" t="n">
        <f aca="false">AI34*AI35</f>
        <v>1090052.85714286</v>
      </c>
      <c r="AJ36" s="22" t="n">
        <f aca="false">AJ34*AJ35</f>
        <v>1123084.76190476</v>
      </c>
      <c r="AK36" s="22" t="n">
        <f aca="false">AK34*AK35</f>
        <v>1156116.66666667</v>
      </c>
      <c r="AL36" s="22" t="n">
        <f aca="false">AL34*AL35</f>
        <v>1189148.57142857</v>
      </c>
      <c r="AM36" s="22" t="n">
        <f aca="false">AM34*AM35</f>
        <v>1222180.47619048</v>
      </c>
      <c r="AN36" s="22" t="n">
        <f aca="false">SUM(D36:O36)</f>
        <v>110524.285714286</v>
      </c>
      <c r="AO36" s="22" t="n">
        <f aca="false">SUM(D36:I36)</f>
        <v>0</v>
      </c>
      <c r="AP36" s="22" t="n">
        <f aca="false">SUM(J36:U36)</f>
        <v>2026278.57142857</v>
      </c>
      <c r="AQ36" s="22" t="n">
        <f aca="false">SUM(P36:AA36)</f>
        <v>4789530</v>
      </c>
      <c r="AR36" s="22" t="n">
        <f aca="false">SUM(AB36:AM36)</f>
        <v>12486060</v>
      </c>
    </row>
    <row r="37" customFormat="false" ht="15" hidden="false" customHeight="false" outlineLevel="0" collapsed="false">
      <c r="A37" s="3" t="s">
        <v>377</v>
      </c>
      <c r="B37" s="3" t="s">
        <v>354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</v>
      </c>
      <c r="P37" s="4" t="n">
        <v>0</v>
      </c>
      <c r="Q37" s="4" t="n">
        <v>1</v>
      </c>
      <c r="R37" s="4" t="n">
        <v>0</v>
      </c>
      <c r="S37" s="4" t="n">
        <v>1</v>
      </c>
      <c r="T37" s="4" t="n">
        <v>0</v>
      </c>
      <c r="U37" s="4" t="n">
        <v>1</v>
      </c>
      <c r="V37" s="4" t="n">
        <v>1</v>
      </c>
      <c r="W37" s="4" t="n">
        <v>1</v>
      </c>
      <c r="X37" s="4" t="n">
        <v>1</v>
      </c>
      <c r="Y37" s="4" t="n">
        <v>1</v>
      </c>
      <c r="Z37" s="4" t="n">
        <v>1</v>
      </c>
      <c r="AA37" s="4" t="n">
        <v>1</v>
      </c>
      <c r="AB37" s="4" t="n">
        <v>1</v>
      </c>
      <c r="AC37" s="4" t="n">
        <v>1</v>
      </c>
      <c r="AD37" s="4" t="n">
        <v>1</v>
      </c>
      <c r="AE37" s="4" t="n">
        <v>1</v>
      </c>
      <c r="AF37" s="4" t="n">
        <v>1</v>
      </c>
      <c r="AG37" s="4" t="n">
        <v>1</v>
      </c>
      <c r="AH37" s="4" t="n">
        <v>1</v>
      </c>
      <c r="AI37" s="4" t="n">
        <v>1</v>
      </c>
      <c r="AJ37" s="4" t="n">
        <v>1</v>
      </c>
      <c r="AK37" s="4" t="n">
        <v>1</v>
      </c>
      <c r="AL37" s="4" t="n">
        <v>1</v>
      </c>
      <c r="AM37" s="4" t="n">
        <v>1</v>
      </c>
      <c r="AN37" s="22" t="n">
        <f aca="false">SUM(D37:O37)</f>
        <v>2</v>
      </c>
      <c r="AO37" s="22" t="n">
        <f aca="false">SUM(D37:I37)</f>
        <v>0</v>
      </c>
      <c r="AP37" s="22" t="n">
        <f aca="false">SUM(J37:U37)</f>
        <v>5</v>
      </c>
      <c r="AQ37" s="22" t="n">
        <f aca="false">SUM(P37:AA37)</f>
        <v>9</v>
      </c>
      <c r="AR37" s="22" t="n">
        <f aca="false">SUM(AB37:AM37)</f>
        <v>12</v>
      </c>
    </row>
    <row r="38" customFormat="false" ht="15" hidden="false" customHeight="false" outlineLevel="0" collapsed="false">
      <c r="A38" s="3" t="s">
        <v>378</v>
      </c>
      <c r="B38" s="3" t="s">
        <v>354</v>
      </c>
      <c r="D38" s="22" t="n">
        <f aca="false">D37*('Unit Economics'!$E$7-'Unit Economics'!$E$10-Assumptions!$C$29)</f>
        <v>0</v>
      </c>
      <c r="E38" s="22" t="n">
        <f aca="false">E37*('Unit Economics'!$E$7-'Unit Economics'!$E$10-Assumptions!$C$29)</f>
        <v>0</v>
      </c>
      <c r="F38" s="22" t="n">
        <f aca="false">F37*('Unit Economics'!$E$7-'Unit Economics'!$E$10-Assumptions!$C$29)</f>
        <v>0</v>
      </c>
      <c r="G38" s="22" t="n">
        <f aca="false">G37*('Unit Economics'!$E$7-'Unit Economics'!$E$10-Assumptions!$C$29)</f>
        <v>0</v>
      </c>
      <c r="H38" s="22" t="n">
        <f aca="false">H37*('Unit Economics'!$E$7-'Unit Economics'!$E$10-Assumptions!$C$29)</f>
        <v>0</v>
      </c>
      <c r="I38" s="22" t="n">
        <f aca="false">I37*('Unit Economics'!$E$7-'Unit Economics'!$E$10-Assumptions!$C$29)</f>
        <v>0</v>
      </c>
      <c r="J38" s="22" t="n">
        <f aca="false">J37*('Unit Economics'!$E$7-'Unit Economics'!$E$10-Assumptions!$C$29)</f>
        <v>0</v>
      </c>
      <c r="K38" s="22" t="n">
        <f aca="false">K37*('Unit Economics'!$E$7-'Unit Economics'!$E$10-Assumptions!$C$29)</f>
        <v>0</v>
      </c>
      <c r="L38" s="22" t="n">
        <f aca="false">L37*('Unit Economics'!$E$7-'Unit Economics'!$E$10-Assumptions!$C$29)</f>
        <v>0</v>
      </c>
      <c r="M38" s="22" t="n">
        <f aca="false">M37*('Unit Economics'!$E$7-'Unit Economics'!$E$10-Assumptions!$C$29)</f>
        <v>58308.4745762712</v>
      </c>
      <c r="N38" s="22" t="n">
        <f aca="false">N37*('Unit Economics'!$E$7-'Unit Economics'!$E$10-Assumptions!$C$29)</f>
        <v>0</v>
      </c>
      <c r="O38" s="22" t="n">
        <f aca="false">O37*('Unit Economics'!$E$7-'Unit Economics'!$E$10-Assumptions!$C$29)</f>
        <v>58308.4745762712</v>
      </c>
      <c r="P38" s="22" t="n">
        <f aca="false">P37*('Unit Economics'!$E$7-'Unit Economics'!$E$10-Assumptions!$C$29)</f>
        <v>0</v>
      </c>
      <c r="Q38" s="22" t="n">
        <f aca="false">Q37*('Unit Economics'!$E$7-'Unit Economics'!$E$10-Assumptions!$C$29)</f>
        <v>58308.4745762712</v>
      </c>
      <c r="R38" s="22" t="n">
        <f aca="false">R37*('Unit Economics'!$E$7-'Unit Economics'!$E$10-Assumptions!$C$29)</f>
        <v>0</v>
      </c>
      <c r="S38" s="22" t="n">
        <f aca="false">S37*('Unit Economics'!$E$7-'Unit Economics'!$E$10-Assumptions!$C$29)</f>
        <v>58308.4745762712</v>
      </c>
      <c r="T38" s="22" t="n">
        <f aca="false">T37*('Unit Economics'!$E$7-'Unit Economics'!$E$10-Assumptions!$C$29)</f>
        <v>0</v>
      </c>
      <c r="U38" s="22" t="n">
        <f aca="false">U37*('Unit Economics'!$E$7-'Unit Economics'!$E$10-Assumptions!$C$29)</f>
        <v>58308.4745762712</v>
      </c>
      <c r="V38" s="22" t="n">
        <f aca="false">V37*('Unit Economics'!$E$7-'Unit Economics'!$E$10-Assumptions!$C$29)</f>
        <v>58308.4745762712</v>
      </c>
      <c r="W38" s="22" t="n">
        <f aca="false">W37*('Unit Economics'!$E$7-'Unit Economics'!$E$10-Assumptions!$C$29)</f>
        <v>58308.4745762712</v>
      </c>
      <c r="X38" s="22" t="n">
        <f aca="false">X37*('Unit Economics'!$E$7-'Unit Economics'!$E$10-Assumptions!$C$29)</f>
        <v>58308.4745762712</v>
      </c>
      <c r="Y38" s="22" t="n">
        <f aca="false">Y37*('Unit Economics'!$E$7-'Unit Economics'!$E$10-Assumptions!$C$29)</f>
        <v>58308.4745762712</v>
      </c>
      <c r="Z38" s="22" t="n">
        <f aca="false">Z37*('Unit Economics'!$E$7-'Unit Economics'!$E$10-Assumptions!$C$29)</f>
        <v>58308.4745762712</v>
      </c>
      <c r="AA38" s="22" t="n">
        <f aca="false">AA37*('Unit Economics'!$E$7-'Unit Economics'!$E$10-Assumptions!$C$29)</f>
        <v>58308.4745762712</v>
      </c>
      <c r="AB38" s="22" t="n">
        <f aca="false">AB37*('Unit Economics'!$E$7-'Unit Economics'!$E$10-Assumptions!$C$29)</f>
        <v>58308.4745762712</v>
      </c>
      <c r="AC38" s="22" t="n">
        <f aca="false">AC37*('Unit Economics'!$E$7-'Unit Economics'!$E$10-Assumptions!$C$29)</f>
        <v>58308.4745762712</v>
      </c>
      <c r="AD38" s="22" t="n">
        <f aca="false">AD37*('Unit Economics'!$E$7-'Unit Economics'!$E$10-Assumptions!$C$29)</f>
        <v>58308.4745762712</v>
      </c>
      <c r="AE38" s="22" t="n">
        <f aca="false">AE37*('Unit Economics'!$E$7-'Unit Economics'!$E$10-Assumptions!$C$29)</f>
        <v>58308.4745762712</v>
      </c>
      <c r="AF38" s="22" t="n">
        <f aca="false">AF37*('Unit Economics'!$E$7-'Unit Economics'!$E$10-Assumptions!$C$29)</f>
        <v>58308.4745762712</v>
      </c>
      <c r="AG38" s="22" t="n">
        <f aca="false">AG37*('Unit Economics'!$E$7-'Unit Economics'!$E$10-Assumptions!$C$29)</f>
        <v>58308.4745762712</v>
      </c>
      <c r="AH38" s="22" t="n">
        <f aca="false">AH37*('Unit Economics'!$E$7-'Unit Economics'!$E$10-Assumptions!$C$29)</f>
        <v>58308.4745762712</v>
      </c>
      <c r="AI38" s="22" t="n">
        <f aca="false">AI37*('Unit Economics'!$E$7-'Unit Economics'!$E$10-Assumptions!$C$29)</f>
        <v>58308.4745762712</v>
      </c>
      <c r="AJ38" s="22" t="n">
        <f aca="false">AJ37*('Unit Economics'!$E$7-'Unit Economics'!$E$10-Assumptions!$C$29)</f>
        <v>58308.4745762712</v>
      </c>
      <c r="AK38" s="22" t="n">
        <f aca="false">AK37*('Unit Economics'!$E$7-'Unit Economics'!$E$10-Assumptions!$C$29)</f>
        <v>58308.4745762712</v>
      </c>
      <c r="AL38" s="22" t="n">
        <f aca="false">AL37*('Unit Economics'!$E$7-'Unit Economics'!$E$10-Assumptions!$C$29)</f>
        <v>58308.4745762712</v>
      </c>
      <c r="AM38" s="22" t="n">
        <f aca="false">AM37*('Unit Economics'!$E$7-'Unit Economics'!$E$10-Assumptions!$C$29)</f>
        <v>58308.4745762712</v>
      </c>
      <c r="AN38" s="22" t="n">
        <f aca="false">SUM(D38:O38)</f>
        <v>116616.949152542</v>
      </c>
      <c r="AO38" s="22" t="n">
        <f aca="false">SUM(D38:I38)</f>
        <v>0</v>
      </c>
      <c r="AP38" s="22" t="n">
        <f aca="false">SUM(J38:U38)</f>
        <v>291542.372881356</v>
      </c>
      <c r="AQ38" s="22" t="n">
        <f aca="false">SUM(P38:AA38)</f>
        <v>524776.271186441</v>
      </c>
      <c r="AR38" s="22" t="n">
        <f aca="false">SUM(AB38:AM38)</f>
        <v>699701.694915254</v>
      </c>
    </row>
    <row r="39" customFormat="false" ht="15" hidden="false" customHeight="false" outlineLevel="0" collapsed="false">
      <c r="A39" s="3" t="s">
        <v>379</v>
      </c>
      <c r="B39" s="3" t="s">
        <v>354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60</v>
      </c>
      <c r="AC39" s="4" t="n">
        <v>70</v>
      </c>
      <c r="AD39" s="4" t="n">
        <v>80</v>
      </c>
      <c r="AE39" s="4" t="n">
        <v>90</v>
      </c>
      <c r="AF39" s="4" t="n">
        <v>100</v>
      </c>
      <c r="AG39" s="4" t="n">
        <v>110</v>
      </c>
      <c r="AH39" s="4" t="n">
        <v>120</v>
      </c>
      <c r="AI39" s="4" t="n">
        <v>130</v>
      </c>
      <c r="AJ39" s="4" t="n">
        <v>140</v>
      </c>
      <c r="AK39" s="4" t="n">
        <v>150</v>
      </c>
      <c r="AL39" s="4" t="n">
        <v>160</v>
      </c>
      <c r="AM39" s="4" t="n">
        <v>170</v>
      </c>
      <c r="AN39" s="22" t="n">
        <f aca="false">SUM(D39:O39)</f>
        <v>0</v>
      </c>
      <c r="AO39" s="22" t="n">
        <f aca="false">SUM(D39:I39)</f>
        <v>0</v>
      </c>
      <c r="AP39" s="22" t="n">
        <f aca="false">SUM(J39:U39)</f>
        <v>0</v>
      </c>
      <c r="AQ39" s="22" t="n">
        <f aca="false">SUM(P39:AA39)</f>
        <v>0</v>
      </c>
      <c r="AR39" s="22" t="n">
        <f aca="false">SUM(AB39:AM39)</f>
        <v>1380</v>
      </c>
    </row>
    <row r="40" customFormat="false" ht="15" hidden="false" customHeight="false" outlineLevel="0" collapsed="false">
      <c r="A40" s="3" t="s">
        <v>380</v>
      </c>
      <c r="B40" s="3" t="s">
        <v>354</v>
      </c>
      <c r="D40" s="22" t="n">
        <f aca="false">D39*('Unit Economics'!$C$7-'Unit Economics'!$C$9-'Unit Economics'!$C$10)</f>
        <v>0</v>
      </c>
      <c r="E40" s="22" t="n">
        <f aca="false">E39*('Unit Economics'!$C$7-'Unit Economics'!$C$9-'Unit Economics'!$C$10)</f>
        <v>0</v>
      </c>
      <c r="F40" s="22" t="n">
        <f aca="false">F39*('Unit Economics'!$C$7-'Unit Economics'!$C$9-'Unit Economics'!$C$10)</f>
        <v>0</v>
      </c>
      <c r="G40" s="22" t="n">
        <f aca="false">G39*('Unit Economics'!$C$7-'Unit Economics'!$C$9-'Unit Economics'!$C$10)</f>
        <v>0</v>
      </c>
      <c r="H40" s="22" t="n">
        <f aca="false">H39*('Unit Economics'!$C$7-'Unit Economics'!$C$9-'Unit Economics'!$C$10)</f>
        <v>0</v>
      </c>
      <c r="I40" s="22" t="n">
        <f aca="false">I39*('Unit Economics'!$C$7-'Unit Economics'!$C$9-'Unit Economics'!$C$10)</f>
        <v>0</v>
      </c>
      <c r="J40" s="22" t="n">
        <f aca="false">J39*('Unit Economics'!$C$7-'Unit Economics'!$C$9-'Unit Economics'!$C$10)</f>
        <v>0</v>
      </c>
      <c r="K40" s="22" t="n">
        <f aca="false">K39*('Unit Economics'!$C$7-'Unit Economics'!$C$9-'Unit Economics'!$C$10)</f>
        <v>0</v>
      </c>
      <c r="L40" s="22" t="n">
        <f aca="false">L39*('Unit Economics'!$C$7-'Unit Economics'!$C$9-'Unit Economics'!$C$10)</f>
        <v>0</v>
      </c>
      <c r="M40" s="22" t="n">
        <f aca="false">M39*('Unit Economics'!$C$7-'Unit Economics'!$C$9-'Unit Economics'!$C$10)</f>
        <v>0</v>
      </c>
      <c r="N40" s="22" t="n">
        <f aca="false">N39*('Unit Economics'!$C$7-'Unit Economics'!$C$9-'Unit Economics'!$C$10)</f>
        <v>0</v>
      </c>
      <c r="O40" s="22" t="n">
        <f aca="false">O39*('Unit Economics'!$C$7-'Unit Economics'!$C$9-'Unit Economics'!$C$10)</f>
        <v>0</v>
      </c>
      <c r="P40" s="22" t="n">
        <f aca="false">P39*('Unit Economics'!$C$7-'Unit Economics'!$C$9-'Unit Economics'!$C$10)</f>
        <v>0</v>
      </c>
      <c r="Q40" s="22" t="n">
        <f aca="false">Q39*('Unit Economics'!$C$7-'Unit Economics'!$C$9-'Unit Economics'!$C$10)</f>
        <v>0</v>
      </c>
      <c r="R40" s="22" t="n">
        <f aca="false">R39*('Unit Economics'!$C$7-'Unit Economics'!$C$9-'Unit Economics'!$C$10)</f>
        <v>0</v>
      </c>
      <c r="S40" s="22" t="n">
        <f aca="false">S39*('Unit Economics'!$C$7-'Unit Economics'!$C$9-'Unit Economics'!$C$10)</f>
        <v>0</v>
      </c>
      <c r="T40" s="22" t="n">
        <f aca="false">T39*('Unit Economics'!$C$7-'Unit Economics'!$C$9-'Unit Economics'!$C$10)</f>
        <v>0</v>
      </c>
      <c r="U40" s="22" t="n">
        <f aca="false">U39*('Unit Economics'!$C$7-'Unit Economics'!$C$9-'Unit Economics'!$C$10)</f>
        <v>0</v>
      </c>
      <c r="V40" s="22" t="n">
        <f aca="false">V39*('Unit Economics'!$C$7-'Unit Economics'!$C$9-'Unit Economics'!$C$10)</f>
        <v>0</v>
      </c>
      <c r="W40" s="22" t="n">
        <f aca="false">W39*('Unit Economics'!$C$7-'Unit Economics'!$C$9-'Unit Economics'!$C$10)</f>
        <v>0</v>
      </c>
      <c r="X40" s="22" t="n">
        <f aca="false">X39*('Unit Economics'!$C$7-'Unit Economics'!$C$9-'Unit Economics'!$C$10)</f>
        <v>0</v>
      </c>
      <c r="Y40" s="22" t="n">
        <f aca="false">Y39*('Unit Economics'!$C$7-'Unit Economics'!$C$9-'Unit Economics'!$C$10)</f>
        <v>0</v>
      </c>
      <c r="Z40" s="22" t="n">
        <f aca="false">Z39*('Unit Economics'!$C$7-'Unit Economics'!$C$9-'Unit Economics'!$C$10)</f>
        <v>0</v>
      </c>
      <c r="AA40" s="22" t="n">
        <f aca="false">AA39*('Unit Economics'!$C$7-'Unit Economics'!$C$9-'Unit Economics'!$C$10)</f>
        <v>0</v>
      </c>
      <c r="AB40" s="22" t="n">
        <f aca="false">AB39*('Unit Economics'!$C$7-'Unit Economics'!$C$9-'Unit Economics'!$C$10)</f>
        <v>330719.491525424</v>
      </c>
      <c r="AC40" s="22" t="n">
        <f aca="false">AC39*('Unit Economics'!$C$7-'Unit Economics'!$C$9-'Unit Economics'!$C$10)</f>
        <v>385839.406779661</v>
      </c>
      <c r="AD40" s="22" t="n">
        <f aca="false">AD39*('Unit Economics'!$C$7-'Unit Economics'!$C$9-'Unit Economics'!$C$10)</f>
        <v>440959.322033898</v>
      </c>
      <c r="AE40" s="22" t="n">
        <f aca="false">AE39*('Unit Economics'!$C$7-'Unit Economics'!$C$9-'Unit Economics'!$C$10)</f>
        <v>496079.237288136</v>
      </c>
      <c r="AF40" s="22" t="n">
        <f aca="false">AF39*('Unit Economics'!$C$7-'Unit Economics'!$C$9-'Unit Economics'!$C$10)</f>
        <v>551199.152542373</v>
      </c>
      <c r="AG40" s="22" t="n">
        <f aca="false">AG39*('Unit Economics'!$C$7-'Unit Economics'!$C$9-'Unit Economics'!$C$10)</f>
        <v>606319.06779661</v>
      </c>
      <c r="AH40" s="22" t="n">
        <f aca="false">AH39*('Unit Economics'!$C$7-'Unit Economics'!$C$9-'Unit Economics'!$C$10)</f>
        <v>661438.983050848</v>
      </c>
      <c r="AI40" s="22" t="n">
        <f aca="false">AI39*('Unit Economics'!$C$7-'Unit Economics'!$C$9-'Unit Economics'!$C$10)</f>
        <v>716558.898305085</v>
      </c>
      <c r="AJ40" s="22" t="n">
        <f aca="false">AJ39*('Unit Economics'!$C$7-'Unit Economics'!$C$9-'Unit Economics'!$C$10)</f>
        <v>771678.813559322</v>
      </c>
      <c r="AK40" s="22" t="n">
        <f aca="false">AK39*('Unit Economics'!$C$7-'Unit Economics'!$C$9-'Unit Economics'!$C$10)</f>
        <v>826798.728813559</v>
      </c>
      <c r="AL40" s="22" t="n">
        <f aca="false">AL39*('Unit Economics'!$C$7-'Unit Economics'!$C$9-'Unit Economics'!$C$10)</f>
        <v>881918.644067797</v>
      </c>
      <c r="AM40" s="22" t="n">
        <f aca="false">AM39*('Unit Economics'!$C$7-'Unit Economics'!$C$9-'Unit Economics'!$C$10)</f>
        <v>937038.559322034</v>
      </c>
      <c r="AN40" s="22" t="n">
        <f aca="false">SUM(D40:O40)</f>
        <v>0</v>
      </c>
      <c r="AO40" s="22" t="n">
        <f aca="false">SUM(D40:I40)</f>
        <v>0</v>
      </c>
      <c r="AP40" s="22" t="n">
        <f aca="false">SUM(J40:U40)</f>
        <v>0</v>
      </c>
      <c r="AQ40" s="22" t="n">
        <f aca="false">SUM(P40:AA40)</f>
        <v>0</v>
      </c>
      <c r="AR40" s="22" t="n">
        <f aca="false">SUM(AB40:AM40)</f>
        <v>7606548.30508475</v>
      </c>
    </row>
    <row r="41" customFormat="false" ht="15" hidden="false" customHeight="false" outlineLevel="0" collapsed="false">
      <c r="A41" s="3" t="s">
        <v>381</v>
      </c>
      <c r="B41" s="3" t="s">
        <v>354</v>
      </c>
      <c r="D41" s="22" t="n">
        <f aca="false">D39*Assumptions!$C$34</f>
        <v>0</v>
      </c>
      <c r="E41" s="22" t="n">
        <f aca="false">D41*(1-Assumptions!$C$31)+E39*Assumptions!$C$34</f>
        <v>0</v>
      </c>
      <c r="F41" s="22" t="n">
        <f aca="false">E41*(1-Assumptions!$C$31)+F39*Assumptions!$C$34</f>
        <v>0</v>
      </c>
      <c r="G41" s="22" t="n">
        <f aca="false">F41*(1-Assumptions!$C$31)+G39*Assumptions!$C$34</f>
        <v>0</v>
      </c>
      <c r="H41" s="22" t="n">
        <f aca="false">G41*(1-Assumptions!$C$31)+H39*Assumptions!$C$34</f>
        <v>0</v>
      </c>
      <c r="I41" s="22" t="n">
        <f aca="false">H41*(1-Assumptions!$C$31)+I39*Assumptions!$C$34</f>
        <v>0</v>
      </c>
      <c r="J41" s="22" t="n">
        <f aca="false">I41*(1-Assumptions!$C$31)+J39*Assumptions!$C$34</f>
        <v>0</v>
      </c>
      <c r="K41" s="22" t="n">
        <f aca="false">J41*(1-Assumptions!$C$31)+K39*Assumptions!$C$34</f>
        <v>0</v>
      </c>
      <c r="L41" s="22" t="n">
        <f aca="false">K41*(1-Assumptions!$C$31)+L39*Assumptions!$C$34</f>
        <v>0</v>
      </c>
      <c r="M41" s="22" t="n">
        <f aca="false">L41*(1-Assumptions!$C$31)+M39*Assumptions!$C$34</f>
        <v>0</v>
      </c>
      <c r="N41" s="22" t="n">
        <f aca="false">M41*(1-Assumptions!$C$31)+N39*Assumptions!$C$34</f>
        <v>0</v>
      </c>
      <c r="O41" s="22" t="n">
        <f aca="false">N41*(1-Assumptions!$C$31)+O39*Assumptions!$C$34</f>
        <v>0</v>
      </c>
      <c r="P41" s="22" t="n">
        <f aca="false">O41*(1-Assumptions!$C$31)+P39*Assumptions!$C$34</f>
        <v>0</v>
      </c>
      <c r="Q41" s="22" t="n">
        <f aca="false">P41*(1-Assumptions!$C$31)+Q39*Assumptions!$C$34</f>
        <v>0</v>
      </c>
      <c r="R41" s="22" t="n">
        <f aca="false">Q41*(1-Assumptions!$C$31)+R39*Assumptions!$C$34</f>
        <v>0</v>
      </c>
      <c r="S41" s="22" t="n">
        <f aca="false">R41*(1-Assumptions!$C$31)+S39*Assumptions!$C$34</f>
        <v>0</v>
      </c>
      <c r="T41" s="22" t="n">
        <f aca="false">S41*(1-Assumptions!$C$31)+T39*Assumptions!$C$34</f>
        <v>0</v>
      </c>
      <c r="U41" s="22" t="n">
        <f aca="false">T41*(1-Assumptions!$C$31)+U39*Assumptions!$C$34</f>
        <v>0</v>
      </c>
      <c r="V41" s="22" t="n">
        <f aca="false">U41*(1-Assumptions!$C$31)+V39*Assumptions!$C$34</f>
        <v>0</v>
      </c>
      <c r="W41" s="22" t="n">
        <f aca="false">V41*(1-Assumptions!$C$31)+W39*Assumptions!$C$34</f>
        <v>0</v>
      </c>
      <c r="X41" s="22" t="n">
        <f aca="false">W41*(1-Assumptions!$C$31)+X39*Assumptions!$C$34</f>
        <v>0</v>
      </c>
      <c r="Y41" s="22" t="n">
        <f aca="false">X41*(1-Assumptions!$C$31)+Y39*Assumptions!$C$34</f>
        <v>0</v>
      </c>
      <c r="Z41" s="22" t="n">
        <f aca="false">Y41*(1-Assumptions!$C$31)+Z39*Assumptions!$C$34</f>
        <v>0</v>
      </c>
      <c r="AA41" s="22" t="n">
        <f aca="false">Z41*(1-Assumptions!$C$31)+AA39*Assumptions!$C$34</f>
        <v>0</v>
      </c>
      <c r="AB41" s="22" t="n">
        <f aca="false">AA41*(1-Assumptions!$C$31)+AB39*Assumptions!$C$34</f>
        <v>24</v>
      </c>
      <c r="AC41" s="22" t="n">
        <f aca="false">AB41*(1-Assumptions!$C$31)+AC39*Assumptions!$C$34</f>
        <v>50.8</v>
      </c>
      <c r="AD41" s="22" t="n">
        <f aca="false">AC41*(1-Assumptions!$C$31)+AD39*Assumptions!$C$34</f>
        <v>80.26</v>
      </c>
      <c r="AE41" s="22" t="n">
        <f aca="false">AD41*(1-Assumptions!$C$31)+AE39*Assumptions!$C$34</f>
        <v>112.247</v>
      </c>
      <c r="AF41" s="22" t="n">
        <f aca="false">AE41*(1-Assumptions!$C$31)+AF39*Assumptions!$C$34</f>
        <v>146.63465</v>
      </c>
      <c r="AG41" s="22" t="n">
        <f aca="false">AF41*(1-Assumptions!$C$31)+AG39*Assumptions!$C$34</f>
        <v>183.3029175</v>
      </c>
      <c r="AH41" s="22" t="n">
        <f aca="false">AG41*(1-Assumptions!$C$31)+AH39*Assumptions!$C$34</f>
        <v>222.137771625</v>
      </c>
      <c r="AI41" s="22" t="n">
        <f aca="false">AH41*(1-Assumptions!$C$31)+AI39*Assumptions!$C$34</f>
        <v>263.03088304375</v>
      </c>
      <c r="AJ41" s="22" t="n">
        <f aca="false">AI41*(1-Assumptions!$C$31)+AJ39*Assumptions!$C$34</f>
        <v>305.879338891562</v>
      </c>
      <c r="AK41" s="22" t="n">
        <f aca="false">AJ41*(1-Assumptions!$C$31)+AK39*Assumptions!$C$34</f>
        <v>350.585371946984</v>
      </c>
      <c r="AL41" s="22" t="n">
        <f aca="false">AK41*(1-Assumptions!$C$31)+AL39*Assumptions!$C$34</f>
        <v>397.056103349635</v>
      </c>
      <c r="AM41" s="22" t="n">
        <f aca="false">AL41*(1-Assumptions!$C$31)+AM39*Assumptions!$C$34</f>
        <v>445.203298182153</v>
      </c>
    </row>
    <row r="42" customFormat="false" ht="15" hidden="false" customHeight="false" outlineLevel="0" collapsed="false">
      <c r="A42" s="3" t="s">
        <v>382</v>
      </c>
      <c r="B42" s="3" t="s">
        <v>354</v>
      </c>
      <c r="D42" s="22" t="n">
        <f aca="false">D41*'Unit Economics'!$D$7</f>
        <v>0</v>
      </c>
      <c r="E42" s="22" t="n">
        <f aca="false">E41*'Unit Economics'!$D$7</f>
        <v>0</v>
      </c>
      <c r="F42" s="22" t="n">
        <f aca="false">F41*'Unit Economics'!$D$7</f>
        <v>0</v>
      </c>
      <c r="G42" s="22" t="n">
        <f aca="false">G41*'Unit Economics'!$D$7</f>
        <v>0</v>
      </c>
      <c r="H42" s="22" t="n">
        <f aca="false">H41*'Unit Economics'!$D$7</f>
        <v>0</v>
      </c>
      <c r="I42" s="22" t="n">
        <f aca="false">I41*'Unit Economics'!$D$7</f>
        <v>0</v>
      </c>
      <c r="J42" s="22" t="n">
        <f aca="false">J41*'Unit Economics'!$D$7</f>
        <v>0</v>
      </c>
      <c r="K42" s="22" t="n">
        <f aca="false">K41*'Unit Economics'!$D$7</f>
        <v>0</v>
      </c>
      <c r="L42" s="22" t="n">
        <f aca="false">L41*'Unit Economics'!$D$7</f>
        <v>0</v>
      </c>
      <c r="M42" s="22" t="n">
        <f aca="false">M41*'Unit Economics'!$D$7</f>
        <v>0</v>
      </c>
      <c r="N42" s="22" t="n">
        <f aca="false">N41*'Unit Economics'!$D$7</f>
        <v>0</v>
      </c>
      <c r="O42" s="22" t="n">
        <f aca="false">O41*'Unit Economics'!$D$7</f>
        <v>0</v>
      </c>
      <c r="P42" s="22" t="n">
        <f aca="false">P41*'Unit Economics'!$D$7</f>
        <v>0</v>
      </c>
      <c r="Q42" s="22" t="n">
        <f aca="false">Q41*'Unit Economics'!$D$7</f>
        <v>0</v>
      </c>
      <c r="R42" s="22" t="n">
        <f aca="false">R41*'Unit Economics'!$D$7</f>
        <v>0</v>
      </c>
      <c r="S42" s="22" t="n">
        <f aca="false">S41*'Unit Economics'!$D$7</f>
        <v>0</v>
      </c>
      <c r="T42" s="22" t="n">
        <f aca="false">T41*'Unit Economics'!$D$7</f>
        <v>0</v>
      </c>
      <c r="U42" s="22" t="n">
        <f aca="false">U41*'Unit Economics'!$D$7</f>
        <v>0</v>
      </c>
      <c r="V42" s="22" t="n">
        <f aca="false">V41*'Unit Economics'!$D$7</f>
        <v>0</v>
      </c>
      <c r="W42" s="22" t="n">
        <f aca="false">W41*'Unit Economics'!$D$7</f>
        <v>0</v>
      </c>
      <c r="X42" s="22" t="n">
        <f aca="false">X41*'Unit Economics'!$D$7</f>
        <v>0</v>
      </c>
      <c r="Y42" s="22" t="n">
        <f aca="false">Y41*'Unit Economics'!$D$7</f>
        <v>0</v>
      </c>
      <c r="Z42" s="22" t="n">
        <f aca="false">Z41*'Unit Economics'!$D$7</f>
        <v>0</v>
      </c>
      <c r="AA42" s="22" t="n">
        <f aca="false">AA41*'Unit Economics'!$D$7</f>
        <v>0</v>
      </c>
      <c r="AB42" s="22" t="n">
        <f aca="false">AB41*'Unit Economics'!$D$7</f>
        <v>4047.45762711864</v>
      </c>
      <c r="AC42" s="22" t="n">
        <f aca="false">AC41*'Unit Economics'!$D$7</f>
        <v>8567.1186440678</v>
      </c>
      <c r="AD42" s="22" t="n">
        <f aca="false">AD41*'Unit Economics'!$D$7</f>
        <v>13535.3728813559</v>
      </c>
      <c r="AE42" s="22" t="n">
        <f aca="false">AE41*'Unit Economics'!$D$7</f>
        <v>18929.7906779661</v>
      </c>
      <c r="AF42" s="22" t="n">
        <f aca="false">AF41*'Unit Economics'!$D$7</f>
        <v>24729.0638559322</v>
      </c>
      <c r="AG42" s="22" t="n">
        <f aca="false">AG41*'Unit Economics'!$D$7</f>
        <v>30912.9496461864</v>
      </c>
      <c r="AH42" s="22" t="n">
        <f aca="false">AH41*'Unit Economics'!$D$7</f>
        <v>37462.2174181144</v>
      </c>
      <c r="AI42" s="22" t="n">
        <f aca="false">AI41*'Unit Economics'!$D$7</f>
        <v>44358.5980726324</v>
      </c>
      <c r="AJ42" s="22" t="n">
        <f aca="false">AJ41*'Unit Economics'!$D$7</f>
        <v>51584.735965611</v>
      </c>
      <c r="AK42" s="22" t="n">
        <f aca="false">AK41*'Unit Economics'!$D$7</f>
        <v>59124.143235127</v>
      </c>
      <c r="AL42" s="22" t="n">
        <f aca="false">AL41*'Unit Economics'!$D$7</f>
        <v>66961.1564123537</v>
      </c>
      <c r="AM42" s="22" t="n">
        <f aca="false">AM41*'Unit Economics'!$D$7</f>
        <v>75080.8952019055</v>
      </c>
      <c r="AN42" s="22" t="n">
        <f aca="false">SUM(D42:O42)</f>
        <v>0</v>
      </c>
      <c r="AO42" s="22" t="n">
        <f aca="false">SUM(D42:I42)</f>
        <v>0</v>
      </c>
      <c r="AP42" s="22" t="n">
        <f aca="false">SUM(J42:U42)</f>
        <v>0</v>
      </c>
      <c r="AQ42" s="22" t="n">
        <f aca="false">SUM(P42:AA42)</f>
        <v>0</v>
      </c>
      <c r="AR42" s="22" t="n">
        <f aca="false">SUM(AB42:AM42)</f>
        <v>435293.499638371</v>
      </c>
    </row>
    <row r="43" customFormat="false" ht="15" hidden="false" customHeight="false" outlineLevel="0" collapsed="false">
      <c r="A43" s="9" t="s">
        <v>383</v>
      </c>
      <c r="B43" s="3"/>
      <c r="D43" s="22" t="n">
        <f aca="false">D36+D38+D40+D42</f>
        <v>0</v>
      </c>
      <c r="E43" s="22" t="n">
        <f aca="false">E36+E38+E40+E42</f>
        <v>0</v>
      </c>
      <c r="F43" s="22" t="n">
        <f aca="false">F36+F38+F40+F42</f>
        <v>0</v>
      </c>
      <c r="G43" s="22" t="n">
        <f aca="false">G36+G38+G40+G42</f>
        <v>0</v>
      </c>
      <c r="H43" s="22" t="n">
        <f aca="false">H36+H38+H40+H42</f>
        <v>0</v>
      </c>
      <c r="I43" s="22" t="n">
        <f aca="false">I36+I38+I40+I42</f>
        <v>0</v>
      </c>
      <c r="J43" s="22" t="n">
        <f aca="false">J36+J38+J40+J42</f>
        <v>0</v>
      </c>
      <c r="K43" s="22" t="n">
        <f aca="false">K36+K38+K40+K42</f>
        <v>0</v>
      </c>
      <c r="L43" s="22" t="n">
        <f aca="false">L36+L38+L40+L42</f>
        <v>0</v>
      </c>
      <c r="M43" s="22" t="n">
        <f aca="false">M36+M38+M40+M42</f>
        <v>58308.4745762712</v>
      </c>
      <c r="N43" s="22" t="n">
        <f aca="false">N36+N38+N40+N42</f>
        <v>0</v>
      </c>
      <c r="O43" s="22" t="n">
        <f aca="false">O36+O38+O40+O42</f>
        <v>168832.760290557</v>
      </c>
      <c r="P43" s="22" t="n">
        <f aca="false">P36+P38+P40+P42</f>
        <v>184207.142857143</v>
      </c>
      <c r="Q43" s="22" t="n">
        <f aca="false">Q36+Q38+Q40+Q42</f>
        <v>316198.474576271</v>
      </c>
      <c r="R43" s="22" t="n">
        <f aca="false">R36+R38+R40+R42</f>
        <v>368414.285714286</v>
      </c>
      <c r="S43" s="22" t="n">
        <f aca="false">S36+S38+S40+S42</f>
        <v>426722.760290557</v>
      </c>
      <c r="T43" s="22" t="n">
        <f aca="false">T36+T38+T40+T42</f>
        <v>368414.285714286</v>
      </c>
      <c r="U43" s="22" t="n">
        <f aca="false">U36+U38+U40+U42</f>
        <v>426722.760290557</v>
      </c>
      <c r="V43" s="22" t="n">
        <f aca="false">V36+V38+V40+V42</f>
        <v>454691.331719128</v>
      </c>
      <c r="W43" s="22" t="n">
        <f aca="false">W36+W38+W40+W42</f>
        <v>487723.236481033</v>
      </c>
      <c r="X43" s="22" t="n">
        <f aca="false">X36+X38+X40+X42</f>
        <v>520755.141242938</v>
      </c>
      <c r="Y43" s="22" t="n">
        <f aca="false">Y36+Y38+Y40+Y42</f>
        <v>553787.046004843</v>
      </c>
      <c r="Z43" s="22" t="n">
        <f aca="false">Z36+Z38+Z40+Z42</f>
        <v>586818.950766747</v>
      </c>
      <c r="AA43" s="22" t="n">
        <f aca="false">AA36+AA38+AA40+AA42</f>
        <v>619850.855528652</v>
      </c>
      <c r="AB43" s="22" t="n">
        <f aca="false">AB36+AB38+AB40+AB42</f>
        <v>1251904.94753834</v>
      </c>
      <c r="AC43" s="22" t="n">
        <f aca="false">AC36+AC38+AC40+AC42</f>
        <v>1344576.42857143</v>
      </c>
      <c r="AD43" s="22" t="n">
        <f aca="false">AD36+AD38+AD40+AD42</f>
        <v>1437696.50282486</v>
      </c>
      <c r="AE43" s="22" t="n">
        <f aca="false">AE36+AE38+AE40+AE42</f>
        <v>1531242.74063761</v>
      </c>
      <c r="AF43" s="22" t="n">
        <f aca="false">AF36+AF38+AF40+AF42</f>
        <v>1625193.83383172</v>
      </c>
      <c r="AG43" s="22" t="n">
        <f aca="false">AG36+AG38+AG40+AG42</f>
        <v>1719529.53963812</v>
      </c>
      <c r="AH43" s="22" t="n">
        <f aca="false">AH36+AH38+AH40+AH42</f>
        <v>1814230.62742619</v>
      </c>
      <c r="AI43" s="22" t="n">
        <f aca="false">AI36+AI38+AI40+AI42</f>
        <v>1909278.82809685</v>
      </c>
      <c r="AJ43" s="22" t="n">
        <f aca="false">AJ36+AJ38+AJ40+AJ42</f>
        <v>2004656.78600597</v>
      </c>
      <c r="AK43" s="22" t="n">
        <f aca="false">AK36+AK38+AK40+AK42</f>
        <v>2100348.01329162</v>
      </c>
      <c r="AL43" s="22" t="n">
        <f aca="false">AL36+AL38+AL40+AL42</f>
        <v>2196336.84648499</v>
      </c>
      <c r="AM43" s="22" t="n">
        <f aca="false">AM36+AM38+AM40+AM42</f>
        <v>2292608.40529069</v>
      </c>
      <c r="AN43" s="23" t="n">
        <f aca="false">SUM(D43:O43)</f>
        <v>227141.234866828</v>
      </c>
      <c r="AO43" s="23" t="n">
        <f aca="false">SUM(D43:I43)</f>
        <v>0</v>
      </c>
      <c r="AP43" s="23" t="n">
        <f aca="false">SUM(J43:U43)</f>
        <v>2317820.94430993</v>
      </c>
      <c r="AQ43" s="23" t="n">
        <f aca="false">SUM(P43:AA43)</f>
        <v>5314306.27118644</v>
      </c>
      <c r="AR43" s="23" t="n">
        <f aca="false">SUM(AB43:AM43)</f>
        <v>21227603.4996384</v>
      </c>
    </row>
    <row r="45" customFormat="false" ht="15" hidden="false" customHeight="false" outlineLevel="0" collapsed="false">
      <c r="A45" s="9" t="s">
        <v>384</v>
      </c>
      <c r="B45" s="3"/>
      <c r="D45" s="22" t="n">
        <f aca="false">D43-D32</f>
        <v>-146300</v>
      </c>
      <c r="E45" s="22" t="n">
        <f aca="false">E43-E32</f>
        <v>-192500</v>
      </c>
      <c r="F45" s="22" t="n">
        <f aca="false">F43-F32</f>
        <v>-146675.6148</v>
      </c>
      <c r="G45" s="22" t="n">
        <f aca="false">G43-G32</f>
        <v>-159500</v>
      </c>
      <c r="H45" s="22" t="n">
        <f aca="false">H43-H32</f>
        <v>-115500</v>
      </c>
      <c r="I45" s="22" t="n">
        <f aca="false">I43-I32</f>
        <v>-115500</v>
      </c>
      <c r="J45" s="22" t="n">
        <f aca="false">J43-J32</f>
        <v>-280500</v>
      </c>
      <c r="K45" s="22" t="n">
        <f aca="false">K43-K32</f>
        <v>-187000</v>
      </c>
      <c r="L45" s="22" t="n">
        <f aca="false">L43-L32</f>
        <v>-423500</v>
      </c>
      <c r="M45" s="22" t="n">
        <f aca="false">M43-M32</f>
        <v>-384606.525423729</v>
      </c>
      <c r="N45" s="22" t="n">
        <f aca="false">N43-N32</f>
        <v>-668840.59</v>
      </c>
      <c r="O45" s="22" t="n">
        <f aca="false">O43-O32</f>
        <v>-109082.239709443</v>
      </c>
      <c r="P45" s="22" t="n">
        <f aca="false">P43-P32</f>
        <v>-2792.85714285716</v>
      </c>
      <c r="Q45" s="22" t="n">
        <f aca="false">Q43-Q32</f>
        <v>109783.474576271</v>
      </c>
      <c r="R45" s="22" t="n">
        <f aca="false">R43-R32</f>
        <v>-84256.0092857142</v>
      </c>
      <c r="S45" s="22" t="n">
        <f aca="false">S43-S32</f>
        <v>-45362.5347094431</v>
      </c>
      <c r="T45" s="22" t="n">
        <f aca="false">T43-T32</f>
        <v>-84256.0092857142</v>
      </c>
      <c r="U45" s="22" t="n">
        <f aca="false">U43-U32</f>
        <v>-815362.534709443</v>
      </c>
      <c r="V45" s="22" t="n">
        <f aca="false">V43-V32</f>
        <v>-57743.6682808716</v>
      </c>
      <c r="W45" s="22" t="n">
        <f aca="false">W43-W32</f>
        <v>-39671.7635189669</v>
      </c>
      <c r="X45" s="22" t="n">
        <f aca="false">X43-X32</f>
        <v>-21599.8587570621</v>
      </c>
      <c r="Y45" s="22" t="n">
        <f aca="false">Y43-Y32</f>
        <v>-47527.9539951574</v>
      </c>
      <c r="Z45" s="22" t="n">
        <f aca="false">Z43-Z32</f>
        <v>14543.9507667474</v>
      </c>
      <c r="AA45" s="22" t="n">
        <f aca="false">AA43-AA32</f>
        <v>32615.8555286521</v>
      </c>
      <c r="AB45" s="22" t="n">
        <f aca="false">AB43-AB32</f>
        <v>42993.9475383372</v>
      </c>
      <c r="AC45" s="22" t="n">
        <f aca="false">AC43-AC32</f>
        <v>64196.2285714285</v>
      </c>
      <c r="AD45" s="22" t="n">
        <f aca="false">AD43-AD32</f>
        <v>85730.0628248588</v>
      </c>
      <c r="AE45" s="22" t="n">
        <f aca="false">AE43-AE32</f>
        <v>107578.872637611</v>
      </c>
      <c r="AF45" s="22" t="n">
        <f aca="false">AF43-AF32</f>
        <v>129726.909231719</v>
      </c>
      <c r="AG45" s="22" t="n">
        <f aca="false">AG43-AG32</f>
        <v>108159.211268116</v>
      </c>
      <c r="AH45" s="22" t="n">
        <f aca="false">AH43-AH32</f>
        <v>174861.565474685</v>
      </c>
      <c r="AI45" s="22" t="n">
        <f aca="false">AI43-AI32</f>
        <v>197820.46924292</v>
      </c>
      <c r="AJ45" s="22" t="n">
        <f aca="false">AJ43-AJ32</f>
        <v>221023.095094737</v>
      </c>
      <c r="AK45" s="22" t="n">
        <f aca="false">AK43-AK32</f>
        <v>200457.256925957</v>
      </c>
      <c r="AL45" s="22" t="n">
        <f aca="false">AL43-AL32</f>
        <v>268111.377937609</v>
      </c>
      <c r="AM45" s="22" t="n">
        <f aca="false">AM43-AM32</f>
        <v>291974.460170672</v>
      </c>
      <c r="AN45" s="23" t="n">
        <f aca="false">SUM(D45:O45)</f>
        <v>-2929504.96993317</v>
      </c>
      <c r="AO45" s="23" t="n">
        <f aca="false">SUM(D45:I45)</f>
        <v>-875975.6148</v>
      </c>
      <c r="AP45" s="23" t="n">
        <f aca="false">SUM(J45:U45)</f>
        <v>-2975775.82569007</v>
      </c>
      <c r="AQ45" s="23" t="n">
        <f aca="false">SUM(P45:AA45)</f>
        <v>-1041629.90881356</v>
      </c>
      <c r="AR45" s="23" t="n">
        <f aca="false">SUM(AB45:AM45)</f>
        <v>1892633.45691865</v>
      </c>
    </row>
    <row r="46" customFormat="false" ht="15" hidden="false" customHeight="false" outlineLevel="0" collapsed="false">
      <c r="A46" s="3" t="s">
        <v>385</v>
      </c>
      <c r="B46" s="3"/>
      <c r="D46" s="22" t="n">
        <f aca="false">D45</f>
        <v>-146300</v>
      </c>
      <c r="E46" s="22" t="n">
        <f aca="false">E45+D46</f>
        <v>-338800</v>
      </c>
      <c r="F46" s="22" t="n">
        <f aca="false">F45+E46</f>
        <v>-485475.6148</v>
      </c>
      <c r="G46" s="22" t="n">
        <f aca="false">G45+F46</f>
        <v>-644975.6148</v>
      </c>
      <c r="H46" s="22" t="n">
        <f aca="false">H45+G46</f>
        <v>-760475.6148</v>
      </c>
      <c r="I46" s="22" t="n">
        <f aca="false">I45+H46</f>
        <v>-875975.6148</v>
      </c>
      <c r="J46" s="22" t="n">
        <f aca="false">J45+I46</f>
        <v>-1156475.6148</v>
      </c>
      <c r="K46" s="22" t="n">
        <f aca="false">K45+J46</f>
        <v>-1343475.6148</v>
      </c>
      <c r="L46" s="22" t="n">
        <f aca="false">L45+K46</f>
        <v>-1766975.6148</v>
      </c>
      <c r="M46" s="22" t="n">
        <f aca="false">M45+L46</f>
        <v>-2151582.14022373</v>
      </c>
      <c r="N46" s="22" t="n">
        <f aca="false">N45+M46</f>
        <v>-2820422.73022373</v>
      </c>
      <c r="O46" s="22" t="n">
        <f aca="false">O45+N46</f>
        <v>-2929504.96993317</v>
      </c>
      <c r="P46" s="22" t="n">
        <f aca="false">P45+O46</f>
        <v>-2932297.82707603</v>
      </c>
      <c r="Q46" s="22" t="n">
        <f aca="false">Q45+P46</f>
        <v>-2822514.35249976</v>
      </c>
      <c r="R46" s="22" t="n">
        <f aca="false">R45+Q46</f>
        <v>-2906770.36178547</v>
      </c>
      <c r="S46" s="22" t="n">
        <f aca="false">S45+R46</f>
        <v>-2952132.89649492</v>
      </c>
      <c r="T46" s="22" t="n">
        <f aca="false">T45+S46</f>
        <v>-3036388.90578063</v>
      </c>
      <c r="U46" s="22" t="n">
        <f aca="false">U45+T46</f>
        <v>-3851751.44049007</v>
      </c>
      <c r="V46" s="22" t="n">
        <f aca="false">V45+U46</f>
        <v>-3909495.10877094</v>
      </c>
      <c r="W46" s="22" t="n">
        <f aca="false">W45+V46</f>
        <v>-3949166.87228991</v>
      </c>
      <c r="X46" s="22" t="n">
        <f aca="false">X45+W46</f>
        <v>-3970766.73104697</v>
      </c>
      <c r="Y46" s="22" t="n">
        <f aca="false">Y45+X46</f>
        <v>-4018294.68504213</v>
      </c>
      <c r="Z46" s="22" t="n">
        <f aca="false">Z45+Y46</f>
        <v>-4003750.73427538</v>
      </c>
      <c r="AA46" s="22" t="n">
        <f aca="false">AA45+Z46</f>
        <v>-3971134.87874673</v>
      </c>
      <c r="AB46" s="22" t="n">
        <f aca="false">AB45+AA46</f>
        <v>-3928140.93120839</v>
      </c>
      <c r="AC46" s="22" t="n">
        <f aca="false">AC45+AB46</f>
        <v>-3863944.70263697</v>
      </c>
      <c r="AD46" s="22" t="n">
        <f aca="false">AD45+AC46</f>
        <v>-3778214.63981211</v>
      </c>
      <c r="AE46" s="22" t="n">
        <f aca="false">AE45+AD46</f>
        <v>-3670635.7671745</v>
      </c>
      <c r="AF46" s="22" t="n">
        <f aca="false">AF45+AE46</f>
        <v>-3540908.85794278</v>
      </c>
      <c r="AG46" s="22" t="n">
        <f aca="false">AG45+AF46</f>
        <v>-3432749.64667466</v>
      </c>
      <c r="AH46" s="22" t="n">
        <f aca="false">AH45+AG46</f>
        <v>-3257888.08119998</v>
      </c>
      <c r="AI46" s="22" t="n">
        <f aca="false">AI45+AH46</f>
        <v>-3060067.61195705</v>
      </c>
      <c r="AJ46" s="22" t="n">
        <f aca="false">AJ45+AI46</f>
        <v>-2839044.51686232</v>
      </c>
      <c r="AK46" s="22" t="n">
        <f aca="false">AK45+AJ46</f>
        <v>-2638587.25993636</v>
      </c>
      <c r="AL46" s="22" t="n">
        <f aca="false">AL45+AK46</f>
        <v>-2370475.88199875</v>
      </c>
      <c r="AM46" s="22" t="n">
        <f aca="false">AM45+AL46</f>
        <v>-2078501.42182808</v>
      </c>
    </row>
    <row r="47" customFormat="false" ht="15" hidden="false" customHeight="false" outlineLevel="0" collapsed="false">
      <c r="A47" s="3" t="s">
        <v>386</v>
      </c>
      <c r="D47" s="22" t="n">
        <f aca="false">IF(AND(1&gt;=13,MIN(D45:AM45)&gt;=0),1,0)</f>
        <v>0</v>
      </c>
      <c r="E47" s="22" t="n">
        <f aca="false">IF(AND(2&gt;=13,MIN(E45:AM45)&gt;=0),1,0)</f>
        <v>0</v>
      </c>
      <c r="F47" s="22" t="n">
        <f aca="false">IF(AND(3&gt;=13,MIN(F45:AM45)&gt;=0),1,0)</f>
        <v>0</v>
      </c>
      <c r="G47" s="22" t="n">
        <f aca="false">IF(AND(4&gt;=13,MIN(G45:AM45)&gt;=0),1,0)</f>
        <v>0</v>
      </c>
      <c r="H47" s="22" t="n">
        <f aca="false">IF(AND(5&gt;=13,MIN(H45:AM45)&gt;=0),1,0)</f>
        <v>0</v>
      </c>
      <c r="I47" s="22" t="n">
        <f aca="false">IF(AND(6&gt;=13,MIN(I45:AM45)&gt;=0),1,0)</f>
        <v>0</v>
      </c>
      <c r="J47" s="22" t="n">
        <f aca="false">IF(AND(7&gt;=13,MIN(J45:AM45)&gt;=0),1,0)</f>
        <v>0</v>
      </c>
      <c r="K47" s="22" t="n">
        <f aca="false">IF(AND(8&gt;=13,MIN(K45:AM45)&gt;=0),1,0)</f>
        <v>0</v>
      </c>
      <c r="L47" s="22" t="n">
        <f aca="false">IF(AND(9&gt;=13,MIN(L45:AM45)&gt;=0),1,0)</f>
        <v>0</v>
      </c>
      <c r="M47" s="22" t="n">
        <f aca="false">IF(AND(10&gt;=13,MIN(M45:AM45)&gt;=0),1,0)</f>
        <v>0</v>
      </c>
      <c r="N47" s="22" t="n">
        <f aca="false">IF(AND(11&gt;=13,MIN(N45:AM45)&gt;=0),1,0)</f>
        <v>0</v>
      </c>
      <c r="O47" s="22" t="n">
        <f aca="false">IF(AND(12&gt;=13,MIN(O45:AM45)&gt;=0),1,0)</f>
        <v>0</v>
      </c>
      <c r="P47" s="22" t="n">
        <f aca="false">IF(AND(13&gt;=13,MIN(P45:AM45)&gt;=0),1,0)</f>
        <v>0</v>
      </c>
      <c r="Q47" s="22" t="n">
        <f aca="false">IF(AND(14&gt;=13,MIN(Q45:AM45)&gt;=0),1,0)</f>
        <v>0</v>
      </c>
      <c r="R47" s="22" t="n">
        <f aca="false">IF(AND(15&gt;=13,MIN(R45:AM45)&gt;=0),1,0)</f>
        <v>0</v>
      </c>
      <c r="S47" s="22" t="n">
        <f aca="false">IF(AND(16&gt;=13,MIN(S45:AM45)&gt;=0),1,0)</f>
        <v>0</v>
      </c>
      <c r="T47" s="22" t="n">
        <f aca="false">IF(AND(17&gt;=13,MIN(T45:AM45)&gt;=0),1,0)</f>
        <v>0</v>
      </c>
      <c r="U47" s="22" t="n">
        <f aca="false">IF(AND(18&gt;=13,MIN(U45:AM45)&gt;=0),1,0)</f>
        <v>0</v>
      </c>
      <c r="V47" s="22" t="n">
        <f aca="false">IF(AND(19&gt;=13,MIN(V45:AM45)&gt;=0),1,0)</f>
        <v>0</v>
      </c>
      <c r="W47" s="22" t="n">
        <f aca="false">IF(AND(20&gt;=13,MIN(W45:AM45)&gt;=0),1,0)</f>
        <v>0</v>
      </c>
      <c r="X47" s="22" t="n">
        <f aca="false">IF(AND(21&gt;=13,MIN(X45:AM45)&gt;=0),1,0)</f>
        <v>0</v>
      </c>
      <c r="Y47" s="22" t="n">
        <f aca="false">IF(AND(22&gt;=13,MIN(Y45:AM45)&gt;=0),1,0)</f>
        <v>0</v>
      </c>
      <c r="Z47" s="22" t="n">
        <f aca="false">IF(AND(23&gt;=13,MIN(Z45:AM45)&gt;=0),1,0)</f>
        <v>1</v>
      </c>
      <c r="AA47" s="22" t="n">
        <f aca="false">IF(AND(24&gt;=13,MIN(AA45:AM45)&gt;=0),1,0)</f>
        <v>1</v>
      </c>
      <c r="AB47" s="22" t="n">
        <f aca="false">IF(AND(25&gt;=13,MIN(AB45:AM45)&gt;=0),1,0)</f>
        <v>1</v>
      </c>
      <c r="AC47" s="22" t="n">
        <f aca="false">IF(AND(26&gt;=13,MIN(AC45:AM45)&gt;=0),1,0)</f>
        <v>1</v>
      </c>
      <c r="AD47" s="22" t="n">
        <f aca="false">IF(AND(27&gt;=13,MIN(AD45:AM45)&gt;=0),1,0)</f>
        <v>1</v>
      </c>
      <c r="AE47" s="22" t="n">
        <f aca="false">IF(AND(28&gt;=13,MIN(AE45:AM45)&gt;=0),1,0)</f>
        <v>1</v>
      </c>
      <c r="AF47" s="22" t="n">
        <f aca="false">IF(AND(29&gt;=13,MIN(AF45:AM45)&gt;=0),1,0)</f>
        <v>1</v>
      </c>
      <c r="AG47" s="22" t="n">
        <f aca="false">IF(AND(30&gt;=13,MIN(AG45:AM45)&gt;=0),1,0)</f>
        <v>1</v>
      </c>
      <c r="AH47" s="22" t="n">
        <f aca="false">IF(AND(31&gt;=13,MIN(AH45:AM45)&gt;=0),1,0)</f>
        <v>1</v>
      </c>
      <c r="AI47" s="22" t="n">
        <f aca="false">IF(AND(32&gt;=13,MIN(AI45:AM45)&gt;=0),1,0)</f>
        <v>1</v>
      </c>
      <c r="AJ47" s="22" t="n">
        <f aca="false">IF(AND(33&gt;=13,MIN(AJ45:AM45)&gt;=0),1,0)</f>
        <v>1</v>
      </c>
      <c r="AK47" s="22" t="n">
        <f aca="false">IF(AND(34&gt;=13,MIN(AK45:AM45)&gt;=0),1,0)</f>
        <v>1</v>
      </c>
      <c r="AL47" s="22" t="n">
        <f aca="false">IF(AND(35&gt;=13,MIN(AL45:AM45)&gt;=0),1,0)</f>
        <v>1</v>
      </c>
      <c r="AM47" s="22" t="n">
        <f aca="false">IF(AND(36&gt;=13,MIN(AM45:AM45)&gt;=0),1,0)</f>
        <v>1</v>
      </c>
    </row>
    <row r="48" customFormat="false" ht="15" hidden="false" customHeight="false" outlineLevel="0" collapsed="false">
      <c r="A48" s="3" t="s">
        <v>387</v>
      </c>
      <c r="D48" s="22" t="n">
        <f aca="false">D46+'Funding Scenarios'!$C$7+IF(1&gt;=Assumptions!$C$43,'Funding Scenarios'!$C$6,0)</f>
        <v>2675653.62205056</v>
      </c>
      <c r="E48" s="22" t="n">
        <f aca="false">E46+'Funding Scenarios'!$C$7+IF(2&gt;=Assumptions!$C$43,'Funding Scenarios'!$C$6,0)</f>
        <v>2483153.62205056</v>
      </c>
      <c r="F48" s="22" t="n">
        <f aca="false">F46+'Funding Scenarios'!$C$7+IF(3&gt;=Assumptions!$C$43,'Funding Scenarios'!$C$6,0)</f>
        <v>4336478.00725056</v>
      </c>
      <c r="G48" s="22" t="n">
        <f aca="false">G46+'Funding Scenarios'!$C$7+IF(4&gt;=Assumptions!$C$43,'Funding Scenarios'!$C$6,0)</f>
        <v>4176978.00725056</v>
      </c>
      <c r="H48" s="22" t="n">
        <f aca="false">H46+'Funding Scenarios'!$C$7+IF(5&gt;=Assumptions!$C$43,'Funding Scenarios'!$C$6,0)</f>
        <v>4061478.00725056</v>
      </c>
      <c r="I48" s="22" t="n">
        <f aca="false">I46+'Funding Scenarios'!$C$7+IF(6&gt;=Assumptions!$C$43,'Funding Scenarios'!$C$6,0)</f>
        <v>3945978.00725056</v>
      </c>
      <c r="J48" s="22" t="n">
        <f aca="false">J46+'Funding Scenarios'!$C$7+IF(7&gt;=Assumptions!$C$43,'Funding Scenarios'!$C$6,0)</f>
        <v>3665478.00725056</v>
      </c>
      <c r="K48" s="22" t="n">
        <f aca="false">K46+'Funding Scenarios'!$C$7+IF(8&gt;=Assumptions!$C$43,'Funding Scenarios'!$C$6,0)</f>
        <v>3478478.00725056</v>
      </c>
      <c r="L48" s="22" t="n">
        <f aca="false">L46+'Funding Scenarios'!$C$7+IF(9&gt;=Assumptions!$C$43,'Funding Scenarios'!$C$6,0)</f>
        <v>3054978.00725056</v>
      </c>
      <c r="M48" s="22" t="n">
        <f aca="false">M46+'Funding Scenarios'!$C$7+IF(10&gt;=Assumptions!$C$43,'Funding Scenarios'!$C$6,0)</f>
        <v>2670371.48182683</v>
      </c>
      <c r="N48" s="22" t="n">
        <f aca="false">N46+'Funding Scenarios'!$C$7+IF(11&gt;=Assumptions!$C$43,'Funding Scenarios'!$C$6,0)</f>
        <v>2001530.89182683</v>
      </c>
      <c r="O48" s="22" t="n">
        <f aca="false">O46+'Funding Scenarios'!$C$7+IF(12&gt;=Assumptions!$C$43,'Funding Scenarios'!$C$6,0)</f>
        <v>1892448.65211738</v>
      </c>
      <c r="P48" s="22" t="n">
        <f aca="false">P46+'Funding Scenarios'!$C$7+IF(13&gt;=Assumptions!$C$43,'Funding Scenarios'!$C$6,0)</f>
        <v>1889655.79497453</v>
      </c>
      <c r="Q48" s="22" t="n">
        <f aca="false">Q46+'Funding Scenarios'!$C$7+IF(14&gt;=Assumptions!$C$43,'Funding Scenarios'!$C$6,0)</f>
        <v>1999439.2695508</v>
      </c>
      <c r="R48" s="22" t="n">
        <f aca="false">R46+'Funding Scenarios'!$C$7+IF(15&gt;=Assumptions!$C$43,'Funding Scenarios'!$C$6,0)</f>
        <v>1915183.26026508</v>
      </c>
      <c r="S48" s="22" t="n">
        <f aca="false">S46+'Funding Scenarios'!$C$7+IF(16&gt;=Assumptions!$C$43,'Funding Scenarios'!$C$6,0)</f>
        <v>1869820.72555564</v>
      </c>
      <c r="T48" s="22" t="n">
        <f aca="false">T46+'Funding Scenarios'!$C$7+IF(17&gt;=Assumptions!$C$43,'Funding Scenarios'!$C$6,0)</f>
        <v>1785564.71626993</v>
      </c>
      <c r="U48" s="22" t="n">
        <f aca="false">U46+'Funding Scenarios'!$C$7+IF(18&gt;=Assumptions!$C$43,'Funding Scenarios'!$C$6,0)</f>
        <v>970202.181560484</v>
      </c>
      <c r="V48" s="22" t="n">
        <f aca="false">V46+'Funding Scenarios'!$C$7+IF(19&gt;=Assumptions!$C$43,'Funding Scenarios'!$C$6,0)</f>
        <v>912458.513279612</v>
      </c>
      <c r="W48" s="22" t="n">
        <f aca="false">W46+'Funding Scenarios'!$C$7+IF(20&gt;=Assumptions!$C$43,'Funding Scenarios'!$C$6,0)</f>
        <v>872786.749760645</v>
      </c>
      <c r="X48" s="22" t="n">
        <f aca="false">X46+'Funding Scenarios'!$C$7+IF(21&gt;=Assumptions!$C$43,'Funding Scenarios'!$C$6,0)</f>
        <v>851186.891003584</v>
      </c>
      <c r="Y48" s="22" t="n">
        <f aca="false">Y46+'Funding Scenarios'!$C$7+IF(22&gt;=Assumptions!$C$43,'Funding Scenarios'!$C$6,0)</f>
        <v>803658.937008426</v>
      </c>
      <c r="Z48" s="22" t="n">
        <f aca="false">Z46+'Funding Scenarios'!$C$7+IF(23&gt;=Assumptions!$C$43,'Funding Scenarios'!$C$6,0)</f>
        <v>818202.887775173</v>
      </c>
      <c r="AA48" s="22" t="n">
        <f aca="false">AA46+'Funding Scenarios'!$C$7+IF(24&gt;=Assumptions!$C$43,'Funding Scenarios'!$C$6,0)</f>
        <v>850818.743303826</v>
      </c>
      <c r="AB48" s="22" t="n">
        <f aca="false">AB46+'Funding Scenarios'!$C$7+IF(25&gt;=Assumptions!$C$43,'Funding Scenarios'!$C$6,0)</f>
        <v>893812.690842163</v>
      </c>
      <c r="AC48" s="22" t="n">
        <f aca="false">AC46+'Funding Scenarios'!$C$7+IF(26&gt;=Assumptions!$C$43,'Funding Scenarios'!$C$6,0)</f>
        <v>958008.919413591</v>
      </c>
      <c r="AD48" s="22" t="n">
        <f aca="false">AD46+'Funding Scenarios'!$C$7+IF(27&gt;=Assumptions!$C$43,'Funding Scenarios'!$C$6,0)</f>
        <v>1043738.98223845</v>
      </c>
      <c r="AE48" s="22" t="n">
        <f aca="false">AE46+'Funding Scenarios'!$C$7+IF(28&gt;=Assumptions!$C$43,'Funding Scenarios'!$C$6,0)</f>
        <v>1151317.85487606</v>
      </c>
      <c r="AF48" s="22" t="n">
        <f aca="false">AF46+'Funding Scenarios'!$C$7+IF(29&gt;=Assumptions!$C$43,'Funding Scenarios'!$C$6,0)</f>
        <v>1281044.76410778</v>
      </c>
      <c r="AG48" s="22" t="n">
        <f aca="false">AG46+'Funding Scenarios'!$C$7+IF(30&gt;=Assumptions!$C$43,'Funding Scenarios'!$C$6,0)</f>
        <v>1389203.9753759</v>
      </c>
      <c r="AH48" s="22" t="n">
        <f aca="false">AH46+'Funding Scenarios'!$C$7+IF(31&gt;=Assumptions!$C$43,'Funding Scenarios'!$C$6,0)</f>
        <v>1564065.54085058</v>
      </c>
      <c r="AI48" s="22" t="n">
        <f aca="false">AI46+'Funding Scenarios'!$C$7+IF(32&gt;=Assumptions!$C$43,'Funding Scenarios'!$C$6,0)</f>
        <v>1761886.0100935</v>
      </c>
      <c r="AJ48" s="22" t="n">
        <f aca="false">AJ46+'Funding Scenarios'!$C$7+IF(33&gt;=Assumptions!$C$43,'Funding Scenarios'!$C$6,0)</f>
        <v>1982909.10518824</v>
      </c>
      <c r="AK48" s="22" t="n">
        <f aca="false">AK46+'Funding Scenarios'!$C$7+IF(34&gt;=Assumptions!$C$43,'Funding Scenarios'!$C$6,0)</f>
        <v>2183366.3621142</v>
      </c>
      <c r="AL48" s="22" t="n">
        <f aca="false">AL46+'Funding Scenarios'!$C$7+IF(35&gt;=Assumptions!$C$43,'Funding Scenarios'!$C$6,0)</f>
        <v>2451477.74005181</v>
      </c>
      <c r="AM48" s="22" t="n">
        <f aca="false">AM46+'Funding Scenarios'!$C$7+IF(36&gt;=Assumptions!$C$43,'Funding Scenarios'!$C$6,0)</f>
        <v>2743452.20022248</v>
      </c>
    </row>
    <row r="49" customFormat="false" ht="15" hidden="false" customHeight="false" outlineLevel="0" collapsed="false">
      <c r="A49" s="3" t="s">
        <v>388</v>
      </c>
      <c r="D49" s="22" t="n">
        <f aca="false">D46+'Funding Scenarios'!$D$7</f>
        <v>4675653.62205056</v>
      </c>
      <c r="E49" s="22" t="n">
        <f aca="false">E46+'Funding Scenarios'!$D$7</f>
        <v>4483153.62205056</v>
      </c>
      <c r="F49" s="22" t="n">
        <f aca="false">F46+'Funding Scenarios'!$D$7</f>
        <v>4336478.00725056</v>
      </c>
      <c r="G49" s="22" t="n">
        <f aca="false">G46+'Funding Scenarios'!$D$7</f>
        <v>4176978.00725056</v>
      </c>
      <c r="H49" s="22" t="n">
        <f aca="false">H46+'Funding Scenarios'!$D$7</f>
        <v>4061478.00725056</v>
      </c>
      <c r="I49" s="22" t="n">
        <f aca="false">I46+'Funding Scenarios'!$D$7</f>
        <v>3945978.00725056</v>
      </c>
      <c r="J49" s="22" t="n">
        <f aca="false">J46+'Funding Scenarios'!$D$7</f>
        <v>3665478.00725056</v>
      </c>
      <c r="K49" s="22" t="n">
        <f aca="false">K46+'Funding Scenarios'!$D$7</f>
        <v>3478478.00725056</v>
      </c>
      <c r="L49" s="22" t="n">
        <f aca="false">L46+'Funding Scenarios'!$D$7</f>
        <v>3054978.00725056</v>
      </c>
      <c r="M49" s="22" t="n">
        <f aca="false">M46+'Funding Scenarios'!$D$7</f>
        <v>2670371.48182683</v>
      </c>
      <c r="N49" s="22" t="n">
        <f aca="false">N46+'Funding Scenarios'!$D$7</f>
        <v>2001530.89182683</v>
      </c>
      <c r="O49" s="22" t="n">
        <f aca="false">O46+'Funding Scenarios'!$D$7</f>
        <v>1892448.65211738</v>
      </c>
      <c r="P49" s="22" t="n">
        <f aca="false">P46+'Funding Scenarios'!$D$7</f>
        <v>1889655.79497453</v>
      </c>
      <c r="Q49" s="22" t="n">
        <f aca="false">Q46+'Funding Scenarios'!$D$7</f>
        <v>1999439.2695508</v>
      </c>
      <c r="R49" s="22" t="n">
        <f aca="false">R46+'Funding Scenarios'!$D$7</f>
        <v>1915183.26026508</v>
      </c>
      <c r="S49" s="22" t="n">
        <f aca="false">S46+'Funding Scenarios'!$D$7</f>
        <v>1869820.72555564</v>
      </c>
      <c r="T49" s="22" t="n">
        <f aca="false">T46+'Funding Scenarios'!$D$7</f>
        <v>1785564.71626993</v>
      </c>
      <c r="U49" s="22" t="n">
        <f aca="false">U46+'Funding Scenarios'!$D$7</f>
        <v>970202.181560484</v>
      </c>
      <c r="V49" s="22" t="n">
        <f aca="false">V46+'Funding Scenarios'!$D$7</f>
        <v>912458.513279612</v>
      </c>
      <c r="W49" s="22" t="n">
        <f aca="false">W46+'Funding Scenarios'!$D$7</f>
        <v>872786.749760645</v>
      </c>
      <c r="X49" s="22" t="n">
        <f aca="false">X46+'Funding Scenarios'!$D$7</f>
        <v>851186.891003584</v>
      </c>
      <c r="Y49" s="22" t="n">
        <f aca="false">Y46+'Funding Scenarios'!$D$7</f>
        <v>803658.937008426</v>
      </c>
      <c r="Z49" s="22" t="n">
        <f aca="false">Z46+'Funding Scenarios'!$D$7</f>
        <v>818202.887775173</v>
      </c>
      <c r="AA49" s="22" t="n">
        <f aca="false">AA46+'Funding Scenarios'!$D$7</f>
        <v>850818.743303826</v>
      </c>
      <c r="AB49" s="22" t="n">
        <f aca="false">AB46+'Funding Scenarios'!$D$7</f>
        <v>893812.690842163</v>
      </c>
      <c r="AC49" s="22" t="n">
        <f aca="false">AC46+'Funding Scenarios'!$D$7</f>
        <v>958008.919413591</v>
      </c>
      <c r="AD49" s="22" t="n">
        <f aca="false">AD46+'Funding Scenarios'!$D$7</f>
        <v>1043738.98223845</v>
      </c>
      <c r="AE49" s="22" t="n">
        <f aca="false">AE46+'Funding Scenarios'!$D$7</f>
        <v>1151317.85487606</v>
      </c>
      <c r="AF49" s="22" t="n">
        <f aca="false">AF46+'Funding Scenarios'!$D$7</f>
        <v>1281044.76410778</v>
      </c>
      <c r="AG49" s="22" t="n">
        <f aca="false">AG46+'Funding Scenarios'!$D$7</f>
        <v>1389203.9753759</v>
      </c>
      <c r="AH49" s="22" t="n">
        <f aca="false">AH46+'Funding Scenarios'!$D$7</f>
        <v>1564065.54085058</v>
      </c>
      <c r="AI49" s="22" t="n">
        <f aca="false">AI46+'Funding Scenarios'!$D$7</f>
        <v>1761886.0100935</v>
      </c>
      <c r="AJ49" s="22" t="n">
        <f aca="false">AJ46+'Funding Scenarios'!$D$7</f>
        <v>1982909.10518824</v>
      </c>
      <c r="AK49" s="22" t="n">
        <f aca="false">AK46+'Funding Scenarios'!$D$7</f>
        <v>2183366.3621142</v>
      </c>
      <c r="AL49" s="22" t="n">
        <f aca="false">AL46+'Funding Scenarios'!$D$7</f>
        <v>2451477.74005181</v>
      </c>
      <c r="AM49" s="22" t="n">
        <f aca="false">AM46+'Funding Scenarios'!$D$7</f>
        <v>2743452.20022248</v>
      </c>
    </row>
    <row r="50" customFormat="false" ht="15" hidden="false" customHeight="false" outlineLevel="0" collapsed="false">
      <c r="A50" s="3" t="s">
        <v>389</v>
      </c>
      <c r="D50" s="22" t="n">
        <f aca="false">D46+'Funding Scenarios'!$E$7</f>
        <v>904870.73776</v>
      </c>
      <c r="E50" s="22" t="n">
        <f aca="false">E46+'Funding Scenarios'!$E$7</f>
        <v>712370.73776</v>
      </c>
      <c r="F50" s="22" t="n">
        <f aca="false">F46+'Funding Scenarios'!$E$7</f>
        <v>565695.12296</v>
      </c>
      <c r="G50" s="22" t="n">
        <f aca="false">G46+'Funding Scenarios'!$E$7</f>
        <v>406195.12296</v>
      </c>
      <c r="H50" s="22" t="n">
        <f aca="false">H46+'Funding Scenarios'!$E$7</f>
        <v>290695.12296</v>
      </c>
      <c r="I50" s="22" t="n">
        <f aca="false">I46+'Funding Scenarios'!$E$7</f>
        <v>175195.12296</v>
      </c>
      <c r="J50" s="22" t="n">
        <f aca="false">J46+'Funding Scenarios'!$E$7</f>
        <v>-105304.87704</v>
      </c>
      <c r="K50" s="22" t="n">
        <f aca="false">K46+'Funding Scenarios'!$E$7</f>
        <v>-292304.87704</v>
      </c>
      <c r="L50" s="22" t="n">
        <f aca="false">L46+'Funding Scenarios'!$E$7</f>
        <v>-715804.87704</v>
      </c>
      <c r="M50" s="22" t="n">
        <f aca="false">M46+'Funding Scenarios'!$E$7</f>
        <v>-1100411.40246373</v>
      </c>
      <c r="N50" s="22" t="n">
        <f aca="false">N46+'Funding Scenarios'!$E$7</f>
        <v>-1769251.99246373</v>
      </c>
      <c r="O50" s="22" t="n">
        <f aca="false">O46+'Funding Scenarios'!$E$7</f>
        <v>-1878334.23217317</v>
      </c>
      <c r="P50" s="22" t="n">
        <f aca="false">P46+'Funding Scenarios'!$E$7</f>
        <v>-1881127.08931603</v>
      </c>
      <c r="Q50" s="22" t="n">
        <f aca="false">Q46+'Funding Scenarios'!$E$7</f>
        <v>-1771343.61473976</v>
      </c>
      <c r="R50" s="22" t="n">
        <f aca="false">R46+'Funding Scenarios'!$E$7</f>
        <v>-1855599.62402547</v>
      </c>
      <c r="S50" s="22" t="n">
        <f aca="false">S46+'Funding Scenarios'!$E$7</f>
        <v>-1900962.15873492</v>
      </c>
      <c r="T50" s="22" t="n">
        <f aca="false">T46+'Funding Scenarios'!$E$7</f>
        <v>-1985218.16802063</v>
      </c>
      <c r="U50" s="22" t="n">
        <f aca="false">U46+'Funding Scenarios'!$E$7</f>
        <v>-2800580.70273007</v>
      </c>
      <c r="V50" s="22" t="n">
        <f aca="false">V46+'Funding Scenarios'!$E$7</f>
        <v>-2858324.37101094</v>
      </c>
      <c r="W50" s="22" t="n">
        <f aca="false">W46+'Funding Scenarios'!$E$7</f>
        <v>-2897996.13452991</v>
      </c>
      <c r="X50" s="22" t="n">
        <f aca="false">X46+'Funding Scenarios'!$E$7</f>
        <v>-2919595.99328697</v>
      </c>
      <c r="Y50" s="22" t="n">
        <f aca="false">Y46+'Funding Scenarios'!$E$7</f>
        <v>-2967123.94728213</v>
      </c>
      <c r="Z50" s="22" t="n">
        <f aca="false">Z46+'Funding Scenarios'!$E$7</f>
        <v>-2952579.99651538</v>
      </c>
      <c r="AA50" s="22" t="n">
        <f aca="false">AA46+'Funding Scenarios'!$E$7</f>
        <v>-2919964.14098673</v>
      </c>
      <c r="AB50" s="22" t="n">
        <f aca="false">AB46+'Funding Scenarios'!$E$7</f>
        <v>-2876970.19344839</v>
      </c>
      <c r="AC50" s="22" t="n">
        <f aca="false">AC46+'Funding Scenarios'!$E$7</f>
        <v>-2812773.96487697</v>
      </c>
      <c r="AD50" s="22" t="n">
        <f aca="false">AD46+'Funding Scenarios'!$E$7</f>
        <v>-2727043.90205211</v>
      </c>
      <c r="AE50" s="22" t="n">
        <f aca="false">AE46+'Funding Scenarios'!$E$7</f>
        <v>-2619465.0294145</v>
      </c>
      <c r="AF50" s="22" t="n">
        <f aca="false">AF46+'Funding Scenarios'!$E$7</f>
        <v>-2489738.12018278</v>
      </c>
      <c r="AG50" s="22" t="n">
        <f aca="false">AG46+'Funding Scenarios'!$E$7</f>
        <v>-2381578.90891466</v>
      </c>
      <c r="AH50" s="22" t="n">
        <f aca="false">AH46+'Funding Scenarios'!$E$7</f>
        <v>-2206717.34343998</v>
      </c>
      <c r="AI50" s="22" t="n">
        <f aca="false">AI46+'Funding Scenarios'!$E$7</f>
        <v>-2008896.87419705</v>
      </c>
      <c r="AJ50" s="22" t="n">
        <f aca="false">AJ46+'Funding Scenarios'!$E$7</f>
        <v>-1787873.77910232</v>
      </c>
      <c r="AK50" s="22" t="n">
        <f aca="false">AK46+'Funding Scenarios'!$E$7</f>
        <v>-1587416.52217636</v>
      </c>
      <c r="AL50" s="22" t="n">
        <f aca="false">AL46+'Funding Scenarios'!$E$7</f>
        <v>-1319305.14423875</v>
      </c>
      <c r="AM50" s="22" t="n">
        <f aca="false">AM46+'Funding Scenarios'!$E$7</f>
        <v>-1027330.68406808</v>
      </c>
    </row>
    <row r="51" customFormat="false" ht="15" hidden="false" customHeight="false" outlineLevel="0" collapsed="false">
      <c r="A51" s="3" t="s">
        <v>390</v>
      </c>
      <c r="D51" s="22" t="n">
        <f aca="false">D46+'Funding Scenarios'!$F$7</f>
        <v>904870.73776</v>
      </c>
      <c r="E51" s="22" t="n">
        <f aca="false">E46+'Funding Scenarios'!$F$7</f>
        <v>712370.73776</v>
      </c>
      <c r="F51" s="22" t="n">
        <f aca="false">F46+'Funding Scenarios'!$F$7</f>
        <v>565695.12296</v>
      </c>
      <c r="G51" s="22" t="n">
        <f aca="false">G46+'Funding Scenarios'!$F$7</f>
        <v>406195.12296</v>
      </c>
      <c r="H51" s="22" t="n">
        <f aca="false">H46+'Funding Scenarios'!$F$7</f>
        <v>290695.12296</v>
      </c>
      <c r="I51" s="22" t="n">
        <f aca="false">I46+'Funding Scenarios'!$F$7</f>
        <v>175195.12296</v>
      </c>
      <c r="J51" s="22" t="n">
        <f aca="false">J46+'Funding Scenarios'!$F$7</f>
        <v>-105304.87704</v>
      </c>
      <c r="K51" s="22" t="n">
        <f aca="false">K46+'Funding Scenarios'!$F$7</f>
        <v>-292304.87704</v>
      </c>
      <c r="L51" s="22" t="n">
        <f aca="false">L46+'Funding Scenarios'!$F$7</f>
        <v>-715804.87704</v>
      </c>
      <c r="M51" s="22" t="n">
        <f aca="false">M46+'Funding Scenarios'!$F$7</f>
        <v>-1100411.40246373</v>
      </c>
      <c r="N51" s="22" t="n">
        <f aca="false">N46+'Funding Scenarios'!$F$7</f>
        <v>-1769251.99246373</v>
      </c>
      <c r="O51" s="22" t="n">
        <f aca="false">O46+'Funding Scenarios'!$F$7</f>
        <v>-1878334.23217317</v>
      </c>
      <c r="P51" s="22" t="n">
        <f aca="false">P46+'Funding Scenarios'!$F$7</f>
        <v>-1881127.08931603</v>
      </c>
      <c r="Q51" s="22" t="n">
        <f aca="false">Q46+'Funding Scenarios'!$F$7</f>
        <v>-1771343.61473976</v>
      </c>
      <c r="R51" s="22" t="n">
        <f aca="false">R46+'Funding Scenarios'!$F$7</f>
        <v>-1855599.62402547</v>
      </c>
      <c r="S51" s="22" t="n">
        <f aca="false">S46+'Funding Scenarios'!$F$7</f>
        <v>-1900962.15873492</v>
      </c>
      <c r="T51" s="22" t="n">
        <f aca="false">T46+'Funding Scenarios'!$F$7</f>
        <v>-1985218.16802063</v>
      </c>
      <c r="U51" s="22" t="n">
        <f aca="false">U46+'Funding Scenarios'!$F$7</f>
        <v>-2800580.70273007</v>
      </c>
      <c r="V51" s="22" t="n">
        <f aca="false">V46+'Funding Scenarios'!$F$7</f>
        <v>-2858324.37101094</v>
      </c>
      <c r="W51" s="22" t="n">
        <f aca="false">W46+'Funding Scenarios'!$F$7</f>
        <v>-2897996.13452991</v>
      </c>
      <c r="X51" s="22" t="n">
        <f aca="false">X46+'Funding Scenarios'!$F$7</f>
        <v>-2919595.99328697</v>
      </c>
      <c r="Y51" s="22" t="n">
        <f aca="false">Y46+'Funding Scenarios'!$F$7</f>
        <v>-2967123.94728213</v>
      </c>
      <c r="Z51" s="22" t="n">
        <f aca="false">Z46+'Funding Scenarios'!$F$7</f>
        <v>-2952579.99651538</v>
      </c>
      <c r="AA51" s="22" t="n">
        <f aca="false">AA46+'Funding Scenarios'!$F$7</f>
        <v>-2919964.14098673</v>
      </c>
      <c r="AB51" s="22" t="n">
        <f aca="false">AB46+'Funding Scenarios'!$F$7</f>
        <v>-2876970.19344839</v>
      </c>
      <c r="AC51" s="22" t="n">
        <f aca="false">AC46+'Funding Scenarios'!$F$7</f>
        <v>-2812773.96487697</v>
      </c>
      <c r="AD51" s="22" t="n">
        <f aca="false">AD46+'Funding Scenarios'!$F$7</f>
        <v>-2727043.90205211</v>
      </c>
      <c r="AE51" s="22" t="n">
        <f aca="false">AE46+'Funding Scenarios'!$F$7</f>
        <v>-2619465.0294145</v>
      </c>
      <c r="AF51" s="22" t="n">
        <f aca="false">AF46+'Funding Scenarios'!$F$7</f>
        <v>-2489738.12018278</v>
      </c>
      <c r="AG51" s="22" t="n">
        <f aca="false">AG46+'Funding Scenarios'!$F$7</f>
        <v>-2381578.90891466</v>
      </c>
      <c r="AH51" s="22" t="n">
        <f aca="false">AH46+'Funding Scenarios'!$F$7</f>
        <v>-2206717.34343998</v>
      </c>
      <c r="AI51" s="22" t="n">
        <f aca="false">AI46+'Funding Scenarios'!$F$7</f>
        <v>-2008896.87419705</v>
      </c>
      <c r="AJ51" s="22" t="n">
        <f aca="false">AJ46+'Funding Scenarios'!$F$7</f>
        <v>-1787873.77910232</v>
      </c>
      <c r="AK51" s="22" t="n">
        <f aca="false">AK46+'Funding Scenarios'!$F$7</f>
        <v>-1587416.52217636</v>
      </c>
      <c r="AL51" s="22" t="n">
        <f aca="false">AL46+'Funding Scenarios'!$F$7</f>
        <v>-1319305.14423875</v>
      </c>
      <c r="AM51" s="22" t="n">
        <f aca="false">AM46+'Funding Scenarios'!$F$7</f>
        <v>-1027330.68406808</v>
      </c>
    </row>
    <row r="52" customFormat="false" ht="15" hidden="false" customHeight="false" outlineLevel="0" collapsed="false">
      <c r="A52" s="3" t="s">
        <v>391</v>
      </c>
      <c r="D52" s="22" t="n">
        <f aca="false">IF(D48&lt;0,1,0)</f>
        <v>0</v>
      </c>
      <c r="E52" s="22" t="n">
        <f aca="false">IF(E48&lt;0,1,0)</f>
        <v>0</v>
      </c>
      <c r="F52" s="22" t="n">
        <f aca="false">IF(F48&lt;0,1,0)</f>
        <v>0</v>
      </c>
      <c r="G52" s="22" t="n">
        <f aca="false">IF(G48&lt;0,1,0)</f>
        <v>0</v>
      </c>
      <c r="H52" s="22" t="n">
        <f aca="false">IF(H48&lt;0,1,0)</f>
        <v>0</v>
      </c>
      <c r="I52" s="22" t="n">
        <f aca="false">IF(I48&lt;0,1,0)</f>
        <v>0</v>
      </c>
      <c r="J52" s="22" t="n">
        <f aca="false">IF(J48&lt;0,1,0)</f>
        <v>0</v>
      </c>
      <c r="K52" s="22" t="n">
        <f aca="false">IF(K48&lt;0,1,0)</f>
        <v>0</v>
      </c>
      <c r="L52" s="22" t="n">
        <f aca="false">IF(L48&lt;0,1,0)</f>
        <v>0</v>
      </c>
      <c r="M52" s="22" t="n">
        <f aca="false">IF(M48&lt;0,1,0)</f>
        <v>0</v>
      </c>
      <c r="N52" s="22" t="n">
        <f aca="false">IF(N48&lt;0,1,0)</f>
        <v>0</v>
      </c>
      <c r="O52" s="22" t="n">
        <f aca="false">IF(O48&lt;0,1,0)</f>
        <v>0</v>
      </c>
      <c r="P52" s="22" t="n">
        <f aca="false">IF(P48&lt;0,1,0)</f>
        <v>0</v>
      </c>
      <c r="Q52" s="22" t="n">
        <f aca="false">IF(Q48&lt;0,1,0)</f>
        <v>0</v>
      </c>
      <c r="R52" s="22" t="n">
        <f aca="false">IF(R48&lt;0,1,0)</f>
        <v>0</v>
      </c>
      <c r="S52" s="22" t="n">
        <f aca="false">IF(S48&lt;0,1,0)</f>
        <v>0</v>
      </c>
      <c r="T52" s="22" t="n">
        <f aca="false">IF(T48&lt;0,1,0)</f>
        <v>0</v>
      </c>
      <c r="U52" s="22" t="n">
        <f aca="false">IF(U48&lt;0,1,0)</f>
        <v>0</v>
      </c>
      <c r="V52" s="22" t="n">
        <f aca="false">IF(V48&lt;0,1,0)</f>
        <v>0</v>
      </c>
      <c r="W52" s="22" t="n">
        <f aca="false">IF(W48&lt;0,1,0)</f>
        <v>0</v>
      </c>
      <c r="X52" s="22" t="n">
        <f aca="false">IF(X48&lt;0,1,0)</f>
        <v>0</v>
      </c>
      <c r="Y52" s="22" t="n">
        <f aca="false">IF(Y48&lt;0,1,0)</f>
        <v>0</v>
      </c>
      <c r="Z52" s="22" t="n">
        <f aca="false">IF(Z48&lt;0,1,0)</f>
        <v>0</v>
      </c>
      <c r="AA52" s="22" t="n">
        <f aca="false">IF(AA48&lt;0,1,0)</f>
        <v>0</v>
      </c>
      <c r="AB52" s="22" t="n">
        <f aca="false">IF(AB48&lt;0,1,0)</f>
        <v>0</v>
      </c>
      <c r="AC52" s="22" t="n">
        <f aca="false">IF(AC48&lt;0,1,0)</f>
        <v>0</v>
      </c>
      <c r="AD52" s="22" t="n">
        <f aca="false">IF(AD48&lt;0,1,0)</f>
        <v>0</v>
      </c>
      <c r="AE52" s="22" t="n">
        <f aca="false">IF(AE48&lt;0,1,0)</f>
        <v>0</v>
      </c>
      <c r="AF52" s="22" t="n">
        <f aca="false">IF(AF48&lt;0,1,0)</f>
        <v>0</v>
      </c>
      <c r="AG52" s="22" t="n">
        <f aca="false">IF(AG48&lt;0,1,0)</f>
        <v>0</v>
      </c>
      <c r="AH52" s="22" t="n">
        <f aca="false">IF(AH48&lt;0,1,0)</f>
        <v>0</v>
      </c>
      <c r="AI52" s="22" t="n">
        <f aca="false">IF(AI48&lt;0,1,0)</f>
        <v>0</v>
      </c>
      <c r="AJ52" s="22" t="n">
        <f aca="false">IF(AJ48&lt;0,1,0)</f>
        <v>0</v>
      </c>
      <c r="AK52" s="22" t="n">
        <f aca="false">IF(AK48&lt;0,1,0)</f>
        <v>0</v>
      </c>
      <c r="AL52" s="22" t="n">
        <f aca="false">IF(AL48&lt;0,1,0)</f>
        <v>0</v>
      </c>
      <c r="AM52" s="22" t="n">
        <f aca="false">IF(AM48&lt;0,1,0)</f>
        <v>0</v>
      </c>
    </row>
    <row r="53" customFormat="false" ht="15" hidden="false" customHeight="false" outlineLevel="0" collapsed="false">
      <c r="A53" s="3" t="s">
        <v>392</v>
      </c>
      <c r="D53" s="22" t="n">
        <f aca="false">IF(D49&lt;0,1,0)</f>
        <v>0</v>
      </c>
      <c r="E53" s="22" t="n">
        <f aca="false">IF(E49&lt;0,1,0)</f>
        <v>0</v>
      </c>
      <c r="F53" s="22" t="n">
        <f aca="false">IF(F49&lt;0,1,0)</f>
        <v>0</v>
      </c>
      <c r="G53" s="22" t="n">
        <f aca="false">IF(G49&lt;0,1,0)</f>
        <v>0</v>
      </c>
      <c r="H53" s="22" t="n">
        <f aca="false">IF(H49&lt;0,1,0)</f>
        <v>0</v>
      </c>
      <c r="I53" s="22" t="n">
        <f aca="false">IF(I49&lt;0,1,0)</f>
        <v>0</v>
      </c>
      <c r="J53" s="22" t="n">
        <f aca="false">IF(J49&lt;0,1,0)</f>
        <v>0</v>
      </c>
      <c r="K53" s="22" t="n">
        <f aca="false">IF(K49&lt;0,1,0)</f>
        <v>0</v>
      </c>
      <c r="L53" s="22" t="n">
        <f aca="false">IF(L49&lt;0,1,0)</f>
        <v>0</v>
      </c>
      <c r="M53" s="22" t="n">
        <f aca="false">IF(M49&lt;0,1,0)</f>
        <v>0</v>
      </c>
      <c r="N53" s="22" t="n">
        <f aca="false">IF(N49&lt;0,1,0)</f>
        <v>0</v>
      </c>
      <c r="O53" s="22" t="n">
        <f aca="false">IF(O49&lt;0,1,0)</f>
        <v>0</v>
      </c>
      <c r="P53" s="22" t="n">
        <f aca="false">IF(P49&lt;0,1,0)</f>
        <v>0</v>
      </c>
      <c r="Q53" s="22" t="n">
        <f aca="false">IF(Q49&lt;0,1,0)</f>
        <v>0</v>
      </c>
      <c r="R53" s="22" t="n">
        <f aca="false">IF(R49&lt;0,1,0)</f>
        <v>0</v>
      </c>
      <c r="S53" s="22" t="n">
        <f aca="false">IF(S49&lt;0,1,0)</f>
        <v>0</v>
      </c>
      <c r="T53" s="22" t="n">
        <f aca="false">IF(T49&lt;0,1,0)</f>
        <v>0</v>
      </c>
      <c r="U53" s="22" t="n">
        <f aca="false">IF(U49&lt;0,1,0)</f>
        <v>0</v>
      </c>
      <c r="V53" s="22" t="n">
        <f aca="false">IF(V49&lt;0,1,0)</f>
        <v>0</v>
      </c>
      <c r="W53" s="22" t="n">
        <f aca="false">IF(W49&lt;0,1,0)</f>
        <v>0</v>
      </c>
      <c r="X53" s="22" t="n">
        <f aca="false">IF(X49&lt;0,1,0)</f>
        <v>0</v>
      </c>
      <c r="Y53" s="22" t="n">
        <f aca="false">IF(Y49&lt;0,1,0)</f>
        <v>0</v>
      </c>
      <c r="Z53" s="22" t="n">
        <f aca="false">IF(Z49&lt;0,1,0)</f>
        <v>0</v>
      </c>
      <c r="AA53" s="22" t="n">
        <f aca="false">IF(AA49&lt;0,1,0)</f>
        <v>0</v>
      </c>
      <c r="AB53" s="22" t="n">
        <f aca="false">IF(AB49&lt;0,1,0)</f>
        <v>0</v>
      </c>
      <c r="AC53" s="22" t="n">
        <f aca="false">IF(AC49&lt;0,1,0)</f>
        <v>0</v>
      </c>
      <c r="AD53" s="22" t="n">
        <f aca="false">IF(AD49&lt;0,1,0)</f>
        <v>0</v>
      </c>
      <c r="AE53" s="22" t="n">
        <f aca="false">IF(AE49&lt;0,1,0)</f>
        <v>0</v>
      </c>
      <c r="AF53" s="22" t="n">
        <f aca="false">IF(AF49&lt;0,1,0)</f>
        <v>0</v>
      </c>
      <c r="AG53" s="22" t="n">
        <f aca="false">IF(AG49&lt;0,1,0)</f>
        <v>0</v>
      </c>
      <c r="AH53" s="22" t="n">
        <f aca="false">IF(AH49&lt;0,1,0)</f>
        <v>0</v>
      </c>
      <c r="AI53" s="22" t="n">
        <f aca="false">IF(AI49&lt;0,1,0)</f>
        <v>0</v>
      </c>
      <c r="AJ53" s="22" t="n">
        <f aca="false">IF(AJ49&lt;0,1,0)</f>
        <v>0</v>
      </c>
      <c r="AK53" s="22" t="n">
        <f aca="false">IF(AK49&lt;0,1,0)</f>
        <v>0</v>
      </c>
      <c r="AL53" s="22" t="n">
        <f aca="false">IF(AL49&lt;0,1,0)</f>
        <v>0</v>
      </c>
      <c r="AM53" s="22" t="n">
        <f aca="false">IF(AM49&lt;0,1,0)</f>
        <v>0</v>
      </c>
    </row>
    <row r="54" customFormat="false" ht="15" hidden="false" customHeight="false" outlineLevel="0" collapsed="false">
      <c r="A54" s="3" t="s">
        <v>393</v>
      </c>
      <c r="D54" s="22" t="n">
        <f aca="false">IF(D50&lt;0,1,0)</f>
        <v>0</v>
      </c>
      <c r="E54" s="22" t="n">
        <f aca="false">IF(E50&lt;0,1,0)</f>
        <v>0</v>
      </c>
      <c r="F54" s="22" t="n">
        <f aca="false">IF(F50&lt;0,1,0)</f>
        <v>0</v>
      </c>
      <c r="G54" s="22" t="n">
        <f aca="false">IF(G50&lt;0,1,0)</f>
        <v>0</v>
      </c>
      <c r="H54" s="22" t="n">
        <f aca="false">IF(H50&lt;0,1,0)</f>
        <v>0</v>
      </c>
      <c r="I54" s="22" t="n">
        <f aca="false">IF(I50&lt;0,1,0)</f>
        <v>0</v>
      </c>
      <c r="J54" s="22" t="n">
        <f aca="false">IF(J50&lt;0,1,0)</f>
        <v>1</v>
      </c>
      <c r="K54" s="22" t="n">
        <f aca="false">IF(K50&lt;0,1,0)</f>
        <v>1</v>
      </c>
      <c r="L54" s="22" t="n">
        <f aca="false">IF(L50&lt;0,1,0)</f>
        <v>1</v>
      </c>
      <c r="M54" s="22" t="n">
        <f aca="false">IF(M50&lt;0,1,0)</f>
        <v>1</v>
      </c>
      <c r="N54" s="22" t="n">
        <f aca="false">IF(N50&lt;0,1,0)</f>
        <v>1</v>
      </c>
      <c r="O54" s="22" t="n">
        <f aca="false">IF(O50&lt;0,1,0)</f>
        <v>1</v>
      </c>
      <c r="P54" s="22" t="n">
        <f aca="false">IF(P50&lt;0,1,0)</f>
        <v>1</v>
      </c>
      <c r="Q54" s="22" t="n">
        <f aca="false">IF(Q50&lt;0,1,0)</f>
        <v>1</v>
      </c>
      <c r="R54" s="22" t="n">
        <f aca="false">IF(R50&lt;0,1,0)</f>
        <v>1</v>
      </c>
      <c r="S54" s="22" t="n">
        <f aca="false">IF(S50&lt;0,1,0)</f>
        <v>1</v>
      </c>
      <c r="T54" s="22" t="n">
        <f aca="false">IF(T50&lt;0,1,0)</f>
        <v>1</v>
      </c>
      <c r="U54" s="22" t="n">
        <f aca="false">IF(U50&lt;0,1,0)</f>
        <v>1</v>
      </c>
      <c r="V54" s="22" t="n">
        <f aca="false">IF(V50&lt;0,1,0)</f>
        <v>1</v>
      </c>
      <c r="W54" s="22" t="n">
        <f aca="false">IF(W50&lt;0,1,0)</f>
        <v>1</v>
      </c>
      <c r="X54" s="22" t="n">
        <f aca="false">IF(X50&lt;0,1,0)</f>
        <v>1</v>
      </c>
      <c r="Y54" s="22" t="n">
        <f aca="false">IF(Y50&lt;0,1,0)</f>
        <v>1</v>
      </c>
      <c r="Z54" s="22" t="n">
        <f aca="false">IF(Z50&lt;0,1,0)</f>
        <v>1</v>
      </c>
      <c r="AA54" s="22" t="n">
        <f aca="false">IF(AA50&lt;0,1,0)</f>
        <v>1</v>
      </c>
      <c r="AB54" s="22" t="n">
        <f aca="false">IF(AB50&lt;0,1,0)</f>
        <v>1</v>
      </c>
      <c r="AC54" s="22" t="n">
        <f aca="false">IF(AC50&lt;0,1,0)</f>
        <v>1</v>
      </c>
      <c r="AD54" s="22" t="n">
        <f aca="false">IF(AD50&lt;0,1,0)</f>
        <v>1</v>
      </c>
      <c r="AE54" s="22" t="n">
        <f aca="false">IF(AE50&lt;0,1,0)</f>
        <v>1</v>
      </c>
      <c r="AF54" s="22" t="n">
        <f aca="false">IF(AF50&lt;0,1,0)</f>
        <v>1</v>
      </c>
      <c r="AG54" s="22" t="n">
        <f aca="false">IF(AG50&lt;0,1,0)</f>
        <v>1</v>
      </c>
      <c r="AH54" s="22" t="n">
        <f aca="false">IF(AH50&lt;0,1,0)</f>
        <v>1</v>
      </c>
      <c r="AI54" s="22" t="n">
        <f aca="false">IF(AI50&lt;0,1,0)</f>
        <v>1</v>
      </c>
      <c r="AJ54" s="22" t="n">
        <f aca="false">IF(AJ50&lt;0,1,0)</f>
        <v>1</v>
      </c>
      <c r="AK54" s="22" t="n">
        <f aca="false">IF(AK50&lt;0,1,0)</f>
        <v>1</v>
      </c>
      <c r="AL54" s="22" t="n">
        <f aca="false">IF(AL50&lt;0,1,0)</f>
        <v>1</v>
      </c>
      <c r="AM54" s="22" t="n">
        <f aca="false">IF(AM50&lt;0,1,0)</f>
        <v>1</v>
      </c>
    </row>
    <row r="55" customFormat="false" ht="15" hidden="false" customHeight="false" outlineLevel="0" collapsed="false">
      <c r="A55" s="3" t="s">
        <v>394</v>
      </c>
      <c r="D55" s="22" t="n">
        <f aca="false">IF(D51&lt;0,1,0)</f>
        <v>0</v>
      </c>
      <c r="E55" s="22" t="n">
        <f aca="false">IF(E51&lt;0,1,0)</f>
        <v>0</v>
      </c>
      <c r="F55" s="22" t="n">
        <f aca="false">IF(F51&lt;0,1,0)</f>
        <v>0</v>
      </c>
      <c r="G55" s="22" t="n">
        <f aca="false">IF(G51&lt;0,1,0)</f>
        <v>0</v>
      </c>
      <c r="H55" s="22" t="n">
        <f aca="false">IF(H51&lt;0,1,0)</f>
        <v>0</v>
      </c>
      <c r="I55" s="22" t="n">
        <f aca="false">IF(I51&lt;0,1,0)</f>
        <v>0</v>
      </c>
      <c r="J55" s="22" t="n">
        <f aca="false">IF(J51&lt;0,1,0)</f>
        <v>1</v>
      </c>
      <c r="K55" s="22" t="n">
        <f aca="false">IF(K51&lt;0,1,0)</f>
        <v>1</v>
      </c>
      <c r="L55" s="22" t="n">
        <f aca="false">IF(L51&lt;0,1,0)</f>
        <v>1</v>
      </c>
      <c r="M55" s="22" t="n">
        <f aca="false">IF(M51&lt;0,1,0)</f>
        <v>1</v>
      </c>
      <c r="N55" s="22" t="n">
        <f aca="false">IF(N51&lt;0,1,0)</f>
        <v>1</v>
      </c>
      <c r="O55" s="22" t="n">
        <f aca="false">IF(O51&lt;0,1,0)</f>
        <v>1</v>
      </c>
      <c r="P55" s="22" t="n">
        <f aca="false">IF(P51&lt;0,1,0)</f>
        <v>1</v>
      </c>
      <c r="Q55" s="22" t="n">
        <f aca="false">IF(Q51&lt;0,1,0)</f>
        <v>1</v>
      </c>
      <c r="R55" s="22" t="n">
        <f aca="false">IF(R51&lt;0,1,0)</f>
        <v>1</v>
      </c>
      <c r="S55" s="22" t="n">
        <f aca="false">IF(S51&lt;0,1,0)</f>
        <v>1</v>
      </c>
      <c r="T55" s="22" t="n">
        <f aca="false">IF(T51&lt;0,1,0)</f>
        <v>1</v>
      </c>
      <c r="U55" s="22" t="n">
        <f aca="false">IF(U51&lt;0,1,0)</f>
        <v>1</v>
      </c>
      <c r="V55" s="22" t="n">
        <f aca="false">IF(V51&lt;0,1,0)</f>
        <v>1</v>
      </c>
      <c r="W55" s="22" t="n">
        <f aca="false">IF(W51&lt;0,1,0)</f>
        <v>1</v>
      </c>
      <c r="X55" s="22" t="n">
        <f aca="false">IF(X51&lt;0,1,0)</f>
        <v>1</v>
      </c>
      <c r="Y55" s="22" t="n">
        <f aca="false">IF(Y51&lt;0,1,0)</f>
        <v>1</v>
      </c>
      <c r="Z55" s="22" t="n">
        <f aca="false">IF(Z51&lt;0,1,0)</f>
        <v>1</v>
      </c>
      <c r="AA55" s="22" t="n">
        <f aca="false">IF(AA51&lt;0,1,0)</f>
        <v>1</v>
      </c>
      <c r="AB55" s="22" t="n">
        <f aca="false">IF(AB51&lt;0,1,0)</f>
        <v>1</v>
      </c>
      <c r="AC55" s="22" t="n">
        <f aca="false">IF(AC51&lt;0,1,0)</f>
        <v>1</v>
      </c>
      <c r="AD55" s="22" t="n">
        <f aca="false">IF(AD51&lt;0,1,0)</f>
        <v>1</v>
      </c>
      <c r="AE55" s="22" t="n">
        <f aca="false">IF(AE51&lt;0,1,0)</f>
        <v>1</v>
      </c>
      <c r="AF55" s="22" t="n">
        <f aca="false">IF(AF51&lt;0,1,0)</f>
        <v>1</v>
      </c>
      <c r="AG55" s="22" t="n">
        <f aca="false">IF(AG51&lt;0,1,0)</f>
        <v>1</v>
      </c>
      <c r="AH55" s="22" t="n">
        <f aca="false">IF(AH51&lt;0,1,0)</f>
        <v>1</v>
      </c>
      <c r="AI55" s="22" t="n">
        <f aca="false">IF(AI51&lt;0,1,0)</f>
        <v>1</v>
      </c>
      <c r="AJ55" s="22" t="n">
        <f aca="false">IF(AJ51&lt;0,1,0)</f>
        <v>1</v>
      </c>
      <c r="AK55" s="22" t="n">
        <f aca="false">IF(AK51&lt;0,1,0)</f>
        <v>1</v>
      </c>
      <c r="AL55" s="22" t="n">
        <f aca="false">IF(AL51&lt;0,1,0)</f>
        <v>1</v>
      </c>
      <c r="AM55" s="22" t="n">
        <f aca="false">IF(AM51&lt;0,1,0)</f>
        <v>1</v>
      </c>
    </row>
    <row r="59" customFormat="false" ht="17.35" hidden="false" customHeight="false" outlineLevel="0" collapsed="false">
      <c r="A59" s="1" t="s">
        <v>395</v>
      </c>
    </row>
    <row r="60" customFormat="false" ht="15" hidden="false" customHeight="false" outlineLevel="0" collapsed="false">
      <c r="A60" s="9" t="s">
        <v>396</v>
      </c>
      <c r="D60" s="15" t="n">
        <f aca="false">AN32</f>
        <v>3156646.2048</v>
      </c>
    </row>
    <row r="61" customFormat="false" ht="15" hidden="false" customHeight="false" outlineLevel="0" collapsed="false">
      <c r="A61" s="9" t="s">
        <v>397</v>
      </c>
      <c r="D61" s="15" t="n">
        <f aca="false">AN43</f>
        <v>227141.234866828</v>
      </c>
    </row>
    <row r="62" customFormat="false" ht="15" hidden="false" customHeight="false" outlineLevel="0" collapsed="false">
      <c r="A62" s="9" t="s">
        <v>398</v>
      </c>
      <c r="D62" s="15" t="n">
        <f aca="false">AN32/12</f>
        <v>263053.8504</v>
      </c>
    </row>
    <row r="63" customFormat="false" ht="15" hidden="false" customHeight="false" outlineLevel="0" collapsed="false">
      <c r="A63" s="9" t="s">
        <v>399</v>
      </c>
      <c r="D63" s="15" t="n">
        <f aca="false">-AN45/12</f>
        <v>244125.414161098</v>
      </c>
    </row>
    <row r="64" customFormat="false" ht="15" hidden="false" customHeight="false" outlineLevel="0" collapsed="false">
      <c r="A64" s="9" t="s">
        <v>400</v>
      </c>
      <c r="D64" s="15" t="n">
        <f aca="false">AO32</f>
        <v>875975.6148</v>
      </c>
    </row>
    <row r="65" customFormat="false" ht="15" hidden="false" customHeight="false" outlineLevel="0" collapsed="false">
      <c r="A65" s="9" t="s">
        <v>401</v>
      </c>
      <c r="D65" s="15" t="n">
        <f aca="false">-MIN(D46:I46)</f>
        <v>875975.6148</v>
      </c>
    </row>
    <row r="66" customFormat="false" ht="15" hidden="false" customHeight="false" outlineLevel="0" collapsed="false">
      <c r="A66" s="9" t="s">
        <v>402</v>
      </c>
      <c r="D66" s="15" t="n">
        <f aca="false">-MIN(D46:AM46)</f>
        <v>4018294.68504213</v>
      </c>
    </row>
    <row r="67" customFormat="false" ht="23.85" hidden="false" customHeight="false" outlineLevel="0" collapsed="false">
      <c r="A67" s="9" t="s">
        <v>403</v>
      </c>
      <c r="D67" s="24" t="str">
        <f aca="false">INDEX($D$3:$AM$3,MATCH(-D66,D46:AM46,0))</f>
        <v>M22
Apr-29</v>
      </c>
    </row>
    <row r="68" customFormat="false" ht="15" hidden="false" customHeight="false" outlineLevel="0" collapsed="false">
      <c r="A68" s="9" t="s">
        <v>404</v>
      </c>
      <c r="D68" s="15" t="n">
        <f aca="false">D66*(1+Assumptions!$C$36)</f>
        <v>4821953.62205056</v>
      </c>
    </row>
    <row r="69" customFormat="false" ht="15" hidden="false" customHeight="false" outlineLevel="0" collapsed="false">
      <c r="A69" s="9" t="s">
        <v>405</v>
      </c>
      <c r="D69" s="15" t="n">
        <f aca="false">D65*(1+Assumptions!$C$36)</f>
        <v>1051170.73776</v>
      </c>
    </row>
    <row r="70" customFormat="false" ht="15" hidden="false" customHeight="false" outlineLevel="0" collapsed="false">
      <c r="A70" s="9" t="s">
        <v>406</v>
      </c>
      <c r="D70" s="15" t="n">
        <f aca="false">D68-D69</f>
        <v>3770782.88429056</v>
      </c>
    </row>
    <row r="71" customFormat="false" ht="23.85" hidden="false" customHeight="false" outlineLevel="0" collapsed="false">
      <c r="A71" s="9" t="s">
        <v>407</v>
      </c>
      <c r="D71" s="24" t="str">
        <f aca="false">IFERROR(INDEX($D$3:$AM$3,MATCH(1,D47:AM47,0)),"Not within 36 months")</f>
        <v>M23
May-29</v>
      </c>
    </row>
    <row r="72" customFormat="false" ht="15" hidden="false" customHeight="false" outlineLevel="0" collapsed="false">
      <c r="A72" s="9" t="s">
        <v>408</v>
      </c>
      <c r="D72" s="15" t="n">
        <f aca="false">AQ43</f>
        <v>5314306.27118644</v>
      </c>
    </row>
    <row r="73" customFormat="false" ht="15" hidden="false" customHeight="false" outlineLevel="0" collapsed="false">
      <c r="A73" s="9" t="s">
        <v>409</v>
      </c>
      <c r="D73" s="15" t="n">
        <f aca="false">AQ45</f>
        <v>-1041629.90881356</v>
      </c>
    </row>
    <row r="74" customFormat="false" ht="15" hidden="false" customHeight="false" outlineLevel="0" collapsed="false">
      <c r="A74" s="9" t="s">
        <v>410</v>
      </c>
      <c r="D74" s="15" t="n">
        <f aca="false">AR43</f>
        <v>21227603.4996384</v>
      </c>
    </row>
    <row r="75" customFormat="false" ht="15" hidden="false" customHeight="false" outlineLevel="0" collapsed="false">
      <c r="A75" s="9" t="s">
        <v>411</v>
      </c>
      <c r="D75" s="15" t="n">
        <f aca="false">AR45</f>
        <v>1892633.45691865</v>
      </c>
    </row>
    <row r="76" customFormat="false" ht="15" hidden="false" customHeight="false" outlineLevel="0" collapsed="false">
      <c r="A76" s="9" t="s">
        <v>412</v>
      </c>
      <c r="D76" s="25" t="n">
        <f aca="false">IF(D74=0,0,D75/D74)</f>
        <v>0.0891590733240752</v>
      </c>
    </row>
    <row r="77" customFormat="false" ht="15" hidden="false" customHeight="false" outlineLevel="0" collapsed="false">
      <c r="A77" s="9" t="s">
        <v>413</v>
      </c>
      <c r="D77" s="15" t="n">
        <f aca="false">AM45</f>
        <v>291974.460170672</v>
      </c>
    </row>
    <row r="78" customFormat="false" ht="15" hidden="false" customHeight="false" outlineLevel="0" collapsed="false">
      <c r="A78" s="9" t="s">
        <v>414</v>
      </c>
      <c r="D78" s="15" t="n">
        <f aca="false">SUMIF($B$4:$B$29,"Shared",$AN$4:$AN$29)</f>
        <v>1353000</v>
      </c>
    </row>
    <row r="79" customFormat="false" ht="15" hidden="false" customHeight="false" outlineLevel="0" collapsed="false">
      <c r="A79" s="9" t="s">
        <v>415</v>
      </c>
      <c r="D79" s="15" t="n">
        <f aca="false">SUMIF($B$4:$B$29,"TremoSense",$AN$4:$AN$29)</f>
        <v>1236378.368</v>
      </c>
    </row>
    <row r="80" customFormat="false" ht="15" hidden="false" customHeight="false" outlineLevel="0" collapsed="false">
      <c r="A80" s="9" t="s">
        <v>416</v>
      </c>
      <c r="D80" s="15" t="n">
        <f aca="false">SUMIF($B$4:$B$29,"ParkinSense",$AN$4:$AN$29)</f>
        <v>280300</v>
      </c>
    </row>
    <row r="81" customFormat="false" ht="15" hidden="false" customHeight="false" outlineLevel="0" collapsed="false">
      <c r="A81" s="9" t="s">
        <v>417</v>
      </c>
      <c r="C81" s="14" t="n">
        <f aca="false">D81</f>
        <v>503712.503559976</v>
      </c>
      <c r="D81" s="15" t="n">
        <f aca="false">(AR32-(AR20+AR27+AR28+AR26)*(1+Assumptions!$C$35))/12</f>
        <v>503712.503559976</v>
      </c>
    </row>
    <row r="82" customFormat="false" ht="15" hidden="false" customHeight="false" outlineLevel="0" collapsed="false">
      <c r="A82" s="9" t="s">
        <v>418</v>
      </c>
      <c r="D82" s="15" t="n">
        <f aca="false">(SUM(J32:O32)-SUM(J19:O19)*(1+Assumptions!$C$35))/6</f>
        <v>291555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419</v>
      </c>
    </row>
    <row r="3" customFormat="false" ht="15" hidden="false" customHeight="false" outlineLevel="0" collapsed="false">
      <c r="A3" s="2" t="s">
        <v>420</v>
      </c>
      <c r="B3" s="2" t="s">
        <v>421</v>
      </c>
      <c r="C3" s="2" t="s">
        <v>158</v>
      </c>
      <c r="E3" s="9" t="s">
        <v>422</v>
      </c>
    </row>
    <row r="4" customFormat="false" ht="15" hidden="false" customHeight="false" outlineLevel="0" collapsed="false">
      <c r="A4" s="3" t="s">
        <v>423</v>
      </c>
      <c r="B4" s="26" t="n">
        <v>4</v>
      </c>
      <c r="C4" s="3" t="s">
        <v>424</v>
      </c>
      <c r="E4" s="3" t="s">
        <v>425</v>
      </c>
      <c r="F4" s="10" t="n">
        <v>1500000</v>
      </c>
      <c r="G4" s="3" t="s">
        <v>426</v>
      </c>
    </row>
    <row r="5" customFormat="false" ht="15" hidden="false" customHeight="false" outlineLevel="0" collapsed="false">
      <c r="A5" s="3" t="s">
        <v>427</v>
      </c>
      <c r="B5" s="26" t="n">
        <v>14.5</v>
      </c>
      <c r="C5" s="3" t="s">
        <v>428</v>
      </c>
      <c r="E5" s="3" t="s">
        <v>429</v>
      </c>
      <c r="F5" s="10" t="n">
        <v>2000000</v>
      </c>
      <c r="G5" s="3" t="s">
        <v>430</v>
      </c>
    </row>
    <row r="6" customFormat="false" ht="15" hidden="false" customHeight="false" outlineLevel="0" collapsed="false">
      <c r="A6" s="3" t="s">
        <v>431</v>
      </c>
      <c r="B6" s="26" t="n">
        <v>15.5</v>
      </c>
      <c r="C6" s="3" t="s">
        <v>432</v>
      </c>
      <c r="E6" s="3" t="s">
        <v>433</v>
      </c>
      <c r="F6" s="10" t="n">
        <v>1250000</v>
      </c>
      <c r="G6" s="3" t="s">
        <v>434</v>
      </c>
    </row>
    <row r="7" customFormat="false" ht="15" hidden="false" customHeight="false" outlineLevel="0" collapsed="false">
      <c r="A7" s="0" t="s">
        <v>435</v>
      </c>
      <c r="B7" s="27" t="n">
        <f aca="false">SUM(B4:B6)</f>
        <v>34</v>
      </c>
      <c r="E7" s="3" t="s">
        <v>436</v>
      </c>
      <c r="F7" s="10" t="n">
        <v>1000000</v>
      </c>
      <c r="G7" s="3" t="s">
        <v>437</v>
      </c>
    </row>
    <row r="8" customFormat="false" ht="15" hidden="false" customHeight="false" outlineLevel="0" collapsed="false">
      <c r="A8" s="0" t="s">
        <v>438</v>
      </c>
      <c r="B8" s="17" t="n">
        <f aca="false">Assumptions!$C$39</f>
        <v>125000</v>
      </c>
      <c r="E8" s="3" t="s">
        <v>439</v>
      </c>
      <c r="F8" s="10" t="n">
        <v>250000</v>
      </c>
      <c r="G8" s="3" t="s">
        <v>440</v>
      </c>
    </row>
    <row r="9" customFormat="false" ht="15" hidden="false" customHeight="false" outlineLevel="0" collapsed="false">
      <c r="A9" s="0" t="s">
        <v>441</v>
      </c>
      <c r="B9" s="10" t="n">
        <v>225000</v>
      </c>
      <c r="E9" s="9" t="s">
        <v>442</v>
      </c>
      <c r="F9" s="15" t="n">
        <f aca="false">SUM(F4:F8)</f>
        <v>6000000</v>
      </c>
    </row>
    <row r="10" customFormat="false" ht="15" hidden="false" customHeight="false" outlineLevel="0" collapsed="false">
      <c r="A10" s="9" t="s">
        <v>443</v>
      </c>
      <c r="B10" s="15" t="n">
        <f aca="false">B7*B8+B9</f>
        <v>4475000</v>
      </c>
      <c r="C10" s="16" t="s">
        <v>444</v>
      </c>
      <c r="E10" s="9" t="s">
        <v>445</v>
      </c>
      <c r="F10" s="15" t="n">
        <f aca="false">Assumptions!$C$44</f>
        <v>7500000</v>
      </c>
      <c r="G10" s="16" t="s">
        <v>446</v>
      </c>
      <c r="H10" s="18" t="n">
        <f aca="false">F10/F9-1</f>
        <v>0.25</v>
      </c>
    </row>
    <row r="12" customFormat="false" ht="15" hidden="false" customHeight="false" outlineLevel="0" collapsed="false">
      <c r="A12" s="9" t="s">
        <v>447</v>
      </c>
    </row>
    <row r="13" customFormat="false" ht="46.25" hidden="false" customHeight="false" outlineLevel="0" collapsed="false">
      <c r="A13" s="2" t="s">
        <v>448</v>
      </c>
      <c r="B13" s="2" t="s">
        <v>449</v>
      </c>
      <c r="C13" s="2" t="s">
        <v>450</v>
      </c>
      <c r="D13" s="2" t="s">
        <v>451</v>
      </c>
      <c r="E13" s="2" t="s">
        <v>452</v>
      </c>
    </row>
    <row r="14" customFormat="false" ht="15" hidden="false" customHeight="false" outlineLevel="0" collapsed="false">
      <c r="A14" s="17" t="n">
        <f aca="false">'Funding Scenarios'!C7</f>
        <v>2821953.62205056</v>
      </c>
      <c r="B14" s="14" t="n">
        <f aca="false">A14*(1-Assumptions!$C$41)/Assumptions!$C$41</f>
        <v>15991070.5249532</v>
      </c>
      <c r="C14" s="14" t="n">
        <f aca="false">A14*(1-Assumptions!$C$42)/Assumptions!$C$42</f>
        <v>11287814.4882022</v>
      </c>
      <c r="D14" s="18" t="n">
        <f aca="false">IF(A14=0,0,A14/($F$10+A14))</f>
        <v>0.273393363832025</v>
      </c>
      <c r="E14" s="3" t="str">
        <f aca="false">IF(D14&lt;=Assumptions!$C$41,"Within 15% at proposed P",IF(D14&lt;=Assumptions!$C$42,"Within 15–20% at proposed P","Above 20% at proposed P"))</f>
        <v>Above 20% at proposed P</v>
      </c>
    </row>
    <row r="15" customFormat="false" ht="15" hidden="false" customHeight="false" outlineLevel="0" collapsed="false">
      <c r="A15" s="17" t="n">
        <f aca="false">'Funding Scenarios'!D7</f>
        <v>4821953.62205056</v>
      </c>
      <c r="B15" s="14" t="n">
        <f aca="false">A15*(1-Assumptions!$C$41)/Assumptions!$C$41</f>
        <v>27324403.8582865</v>
      </c>
      <c r="C15" s="14" t="n">
        <f aca="false">A15*(1-Assumptions!$C$42)/Assumptions!$C$42</f>
        <v>19287814.4882022</v>
      </c>
      <c r="D15" s="18" t="n">
        <f aca="false">IF(A15=0,0,A15/($F$10+A15))</f>
        <v>0.391330284949418</v>
      </c>
      <c r="E15" s="3" t="str">
        <f aca="false">IF(D15&lt;=Assumptions!$C$41,"Within 15% at proposed P",IF(D15&lt;=Assumptions!$C$42,"Within 15–20% at proposed P","Above 20% at proposed P"))</f>
        <v>Above 20% at proposed P</v>
      </c>
    </row>
    <row r="16" customFormat="false" ht="15" hidden="false" customHeight="false" outlineLevel="0" collapsed="false">
      <c r="A16" s="17" t="n">
        <f aca="false">'Funding Scenarios'!E7</f>
        <v>1051170.73776</v>
      </c>
      <c r="B16" s="14" t="n">
        <f aca="false">A16*(1-Assumptions!$C$41)/Assumptions!$C$41</f>
        <v>5956634.18064</v>
      </c>
      <c r="C16" s="14" t="n">
        <f aca="false">A16*(1-Assumptions!$C$42)/Assumptions!$C$42</f>
        <v>4204682.95104</v>
      </c>
      <c r="D16" s="18" t="n">
        <f aca="false">IF(A16=0,0,A16/($F$10+A16))</f>
        <v>0.122927113724706</v>
      </c>
      <c r="E16" s="3" t="str">
        <f aca="false">IF(D16&lt;=Assumptions!$C$41,"Within 15% at proposed P",IF(D16&lt;=Assumptions!$C$42,"Within 15–20% at proposed P","Above 20% at proposed P"))</f>
        <v>Within 15% at proposed P</v>
      </c>
    </row>
    <row r="17" customFormat="false" ht="15" hidden="false" customHeight="false" outlineLevel="0" collapsed="false">
      <c r="A17" s="17" t="n">
        <f aca="false">'Funding Scenarios'!F7</f>
        <v>1051170.73776</v>
      </c>
      <c r="B17" s="14" t="n">
        <f aca="false">A17*(1-Assumptions!$C$41)/Assumptions!$C$41</f>
        <v>5956634.18064</v>
      </c>
      <c r="C17" s="14" t="n">
        <f aca="false">A17*(1-Assumptions!$C$42)/Assumptions!$C$42</f>
        <v>4204682.95104</v>
      </c>
      <c r="D17" s="18" t="n">
        <f aca="false">IF(A17=0,0,A17/($F$10+A17))</f>
        <v>0.122927113724706</v>
      </c>
      <c r="E17" s="3" t="str">
        <f aca="false">IF(D17&lt;=Assumptions!$C$41,"Within 15% at proposed P",IF(D17&lt;=Assumptions!$C$42,"Within 15–20% at proposed P","Above 20% at proposed P"))</f>
        <v>Within 15% at proposed P</v>
      </c>
    </row>
    <row r="18" customFormat="false" ht="15" hidden="false" customHeight="false" outlineLevel="0" collapsed="false">
      <c r="A18" s="0" t="s">
        <v>453</v>
      </c>
    </row>
    <row r="20" customFormat="false" ht="15" hidden="false" customHeight="false" outlineLevel="0" collapsed="false">
      <c r="A20" s="9" t="s">
        <v>454</v>
      </c>
    </row>
    <row r="21" customFormat="false" ht="15" hidden="false" customHeight="false" outlineLevel="0" collapsed="false">
      <c r="A21" s="2" t="s">
        <v>455</v>
      </c>
      <c r="B21" s="2" t="s">
        <v>456</v>
      </c>
      <c r="C21" s="2" t="s">
        <v>457</v>
      </c>
      <c r="D21" s="2" t="s">
        <v>241</v>
      </c>
    </row>
    <row r="22" customFormat="false" ht="15" hidden="false" customHeight="false" outlineLevel="0" collapsed="false">
      <c r="A22" s="14" t="n">
        <f aca="false">$B$10</f>
        <v>4475000</v>
      </c>
      <c r="B22" s="18" t="n">
        <f aca="false">'Funding Scenarios'!$E$7/(A22+'Funding Scenarios'!$E$7)</f>
        <v>0.190216840492714</v>
      </c>
      <c r="C22" s="18" t="n">
        <f aca="false">1-B22-Assumptions!$C$38</f>
        <v>0.759783159507286</v>
      </c>
      <c r="D22" s="3" t="s">
        <v>458</v>
      </c>
    </row>
    <row r="23" customFormat="false" ht="15" hidden="false" customHeight="false" outlineLevel="0" collapsed="false">
      <c r="A23" s="14" t="n">
        <f aca="false">Assumptions!$C$45</f>
        <v>6000000</v>
      </c>
      <c r="B23" s="18" t="n">
        <f aca="false">'Funding Scenarios'!$E$7/(A23+'Funding Scenarios'!$E$7)</f>
        <v>0.149077476188576</v>
      </c>
      <c r="C23" s="18" t="n">
        <f aca="false">1-B23-Assumptions!$C$38</f>
        <v>0.800922523811424</v>
      </c>
      <c r="D23" s="3" t="s">
        <v>459</v>
      </c>
    </row>
    <row r="24" customFormat="false" ht="15" hidden="false" customHeight="false" outlineLevel="0" collapsed="false">
      <c r="A24" s="14" t="n">
        <f aca="false">Assumptions!$C$44</f>
        <v>7500000</v>
      </c>
      <c r="B24" s="18" t="n">
        <f aca="false">'Funding Scenarios'!$E$7/(A24+'Funding Scenarios'!$E$7)</f>
        <v>0.122927113724706</v>
      </c>
      <c r="C24" s="18" t="n">
        <f aca="false">1-B24-Assumptions!$C$38</f>
        <v>0.827072886275294</v>
      </c>
      <c r="D24" s="9" t="s">
        <v>460</v>
      </c>
    </row>
    <row r="25" customFormat="false" ht="15" hidden="false" customHeight="false" outlineLevel="0" collapsed="false">
      <c r="A25" s="14" t="n">
        <f aca="false">Assumptions!$C$46</f>
        <v>10000000</v>
      </c>
      <c r="B25" s="18" t="n">
        <f aca="false">'Funding Scenarios'!$E$7/(A25+'Funding Scenarios'!$E$7)</f>
        <v>0.0951184958321498</v>
      </c>
      <c r="C25" s="18" t="n">
        <f aca="false">1-B25-Assumptions!$C$38</f>
        <v>0.85488150416785</v>
      </c>
      <c r="D25" s="3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5" min="3" style="0" width="2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462</v>
      </c>
    </row>
    <row r="3" customFormat="false" ht="23.85" hidden="false" customHeight="false" outlineLevel="0" collapsed="false">
      <c r="A3" s="2" t="s">
        <v>154</v>
      </c>
      <c r="B3" s="2"/>
      <c r="C3" s="2" t="s">
        <v>463</v>
      </c>
      <c r="D3" s="2" t="s">
        <v>464</v>
      </c>
      <c r="E3" s="2" t="s">
        <v>465</v>
      </c>
      <c r="F3" s="2" t="s">
        <v>466</v>
      </c>
    </row>
    <row r="4" customFormat="false" ht="15" hidden="false" customHeight="false" outlineLevel="0" collapsed="false">
      <c r="A4" s="3" t="s">
        <v>467</v>
      </c>
      <c r="C4" s="28" t="n">
        <f aca="false">Forecast!$D$68</f>
        <v>4821953.62205056</v>
      </c>
      <c r="D4" s="28" t="n">
        <f aca="false">Forecast!$D$68</f>
        <v>4821953.62205056</v>
      </c>
      <c r="E4" s="28" t="n">
        <f aca="false">Forecast!$D$69</f>
        <v>1051170.73776</v>
      </c>
      <c r="F4" s="28" t="n">
        <f aca="false">Forecast!$D$69</f>
        <v>1051170.73776</v>
      </c>
    </row>
    <row r="5" customFormat="false" ht="23.85" hidden="false" customHeight="false" outlineLevel="0" collapsed="false">
      <c r="A5" s="3" t="s">
        <v>468</v>
      </c>
      <c r="C5" s="29" t="s">
        <v>469</v>
      </c>
      <c r="D5" s="29" t="s">
        <v>470</v>
      </c>
      <c r="E5" s="29" t="s">
        <v>471</v>
      </c>
      <c r="F5" s="29" t="s">
        <v>472</v>
      </c>
    </row>
    <row r="6" customFormat="false" ht="15" hidden="false" customHeight="false" outlineLevel="0" collapsed="false">
      <c r="A6" s="3" t="s">
        <v>473</v>
      </c>
      <c r="C6" s="28" t="n">
        <f aca="false">Assumptions!$C$37</f>
        <v>2000000</v>
      </c>
      <c r="D6" s="30" t="n">
        <v>0</v>
      </c>
      <c r="E6" s="30" t="n">
        <v>0</v>
      </c>
      <c r="F6" s="30" t="n">
        <v>0</v>
      </c>
    </row>
    <row r="7" customFormat="false" ht="15" hidden="false" customHeight="false" outlineLevel="0" collapsed="false">
      <c r="A7" s="9" t="s">
        <v>474</v>
      </c>
      <c r="C7" s="28" t="n">
        <f aca="false">C4-C6</f>
        <v>2821953.62205056</v>
      </c>
      <c r="D7" s="28" t="n">
        <f aca="false">D4-D6</f>
        <v>4821953.62205056</v>
      </c>
      <c r="E7" s="28" t="n">
        <f aca="false">E4-E6</f>
        <v>1051170.73776</v>
      </c>
      <c r="F7" s="28" t="n">
        <f aca="false">F4-F6</f>
        <v>1051170.73776</v>
      </c>
    </row>
    <row r="8" customFormat="false" ht="15" hidden="false" customHeight="false" outlineLevel="0" collapsed="false">
      <c r="A8" s="3" t="s">
        <v>475</v>
      </c>
      <c r="C8" s="28" t="n">
        <f aca="false">Valuation!$F$10</f>
        <v>7500000</v>
      </c>
      <c r="D8" s="28" t="n">
        <f aca="false">Valuation!$F$10</f>
        <v>7500000</v>
      </c>
      <c r="E8" s="28" t="n">
        <f aca="false">Valuation!$F$10</f>
        <v>7500000</v>
      </c>
      <c r="F8" s="28" t="n">
        <f aca="false">Valuation!$F$10</f>
        <v>7500000</v>
      </c>
    </row>
    <row r="9" customFormat="false" ht="15" hidden="false" customHeight="false" outlineLevel="0" collapsed="false">
      <c r="A9" s="3" t="s">
        <v>476</v>
      </c>
      <c r="C9" s="28" t="n">
        <f aca="false">C8+C7</f>
        <v>10321953.6220506</v>
      </c>
      <c r="D9" s="28" t="n">
        <f aca="false">D8+D7</f>
        <v>12321953.6220506</v>
      </c>
      <c r="E9" s="28" t="n">
        <f aca="false">E8+E7</f>
        <v>8551170.73776</v>
      </c>
      <c r="F9" s="28" t="n">
        <f aca="false">F8+F7</f>
        <v>8551170.73776</v>
      </c>
    </row>
    <row r="10" customFormat="false" ht="15" hidden="false" customHeight="false" outlineLevel="0" collapsed="false">
      <c r="A10" s="9" t="s">
        <v>477</v>
      </c>
      <c r="C10" s="31" t="n">
        <f aca="false">C7/C9</f>
        <v>0.273393363832025</v>
      </c>
      <c r="D10" s="31" t="n">
        <f aca="false">D7/D9</f>
        <v>0.391330284949418</v>
      </c>
      <c r="E10" s="31" t="n">
        <f aca="false">E7/E9</f>
        <v>0.122927113724706</v>
      </c>
      <c r="F10" s="31" t="n">
        <f aca="false">F7/F9</f>
        <v>0.122927113724706</v>
      </c>
    </row>
    <row r="11" customFormat="false" ht="15" hidden="false" customHeight="false" outlineLevel="0" collapsed="false">
      <c r="A11" s="3" t="s">
        <v>478</v>
      </c>
      <c r="C11" s="31" t="n">
        <f aca="false">Assumptions!$C$38</f>
        <v>0.05</v>
      </c>
      <c r="D11" s="31" t="n">
        <f aca="false">Assumptions!$C$38</f>
        <v>0.05</v>
      </c>
      <c r="E11" s="31" t="n">
        <f aca="false">Assumptions!$C$38</f>
        <v>0.05</v>
      </c>
      <c r="F11" s="31" t="n">
        <f aca="false">Assumptions!$C$38</f>
        <v>0.05</v>
      </c>
    </row>
    <row r="12" customFormat="false" ht="15" hidden="false" customHeight="false" outlineLevel="0" collapsed="false">
      <c r="A12" s="9" t="s">
        <v>479</v>
      </c>
      <c r="C12" s="31" t="n">
        <f aca="false">1-C10-C11</f>
        <v>0.676606636167975</v>
      </c>
      <c r="D12" s="31" t="n">
        <f aca="false">1-D10-D11</f>
        <v>0.558669715050582</v>
      </c>
      <c r="E12" s="31" t="n">
        <f aca="false">1-E10-E11</f>
        <v>0.827072886275294</v>
      </c>
      <c r="F12" s="31" t="n">
        <f aca="false">1-F10-F11</f>
        <v>0.827072886275294</v>
      </c>
    </row>
    <row r="13" customFormat="false" ht="23.85" hidden="false" customHeight="false" outlineLevel="0" collapsed="false">
      <c r="A13" s="3" t="s">
        <v>480</v>
      </c>
      <c r="C13" s="29" t="s">
        <v>481</v>
      </c>
      <c r="D13" s="29" t="s">
        <v>481</v>
      </c>
      <c r="E13" s="29" t="s">
        <v>482</v>
      </c>
      <c r="F13" s="29" t="s">
        <v>483</v>
      </c>
    </row>
    <row r="14" customFormat="false" ht="57.45" hidden="false" customHeight="false" outlineLevel="0" collapsed="false">
      <c r="A14" s="3" t="s">
        <v>484</v>
      </c>
      <c r="C14" s="29" t="s">
        <v>485</v>
      </c>
      <c r="D14" s="29" t="s">
        <v>486</v>
      </c>
      <c r="E14" s="29" t="s">
        <v>487</v>
      </c>
      <c r="F14" s="29" t="s">
        <v>488</v>
      </c>
    </row>
    <row r="15" customFormat="false" ht="23.85" hidden="false" customHeight="false" outlineLevel="0" collapsed="false">
      <c r="A15" s="3" t="s">
        <v>489</v>
      </c>
      <c r="C15" s="29" t="s">
        <v>490</v>
      </c>
      <c r="D15" s="29" t="s">
        <v>491</v>
      </c>
      <c r="E15" s="29" t="s">
        <v>492</v>
      </c>
      <c r="F15" s="29" t="s">
        <v>493</v>
      </c>
    </row>
    <row r="16" customFormat="false" ht="23.85" hidden="false" customHeight="false" outlineLevel="0" collapsed="false">
      <c r="A16" s="9" t="s">
        <v>494</v>
      </c>
      <c r="C16" s="32" t="str">
        <f aca="false">IFERROR(INDEX(Forecast!$D$3:$AM$3,MATCH(1,Forecast!$D$52:$AM$52,0)),"Never — reaches break-even "&amp;Forecast!$D$71)</f>
        <v>Never — reaches break-even M23
May-29</v>
      </c>
      <c r="D16" s="32" t="str">
        <f aca="false">IFERROR(INDEX(Forecast!$D$3:$AM$3,MATCH(1,Forecast!$D$53:$AM$53,0)),"Never — reaches break-even "&amp;Forecast!$D$71)</f>
        <v>Never — reaches break-even M23
May-29</v>
      </c>
      <c r="E16" s="32" t="str">
        <f aca="false">IFERROR(INDEX(Forecast!$D$3:$AM$3,MATCH(1,Forecast!$D$54:$AM$54,0)),"Never — reaches break-even "&amp;Forecast!$D$71)</f>
        <v>M7
Jan-28</v>
      </c>
      <c r="F16" s="32" t="str">
        <f aca="false">IFERROR(INDEX(Forecast!$D$3:$AM$3,MATCH(1,Forecast!$D$55:$AM$55,0)),"Never — reaches break-even "&amp;Forecast!$D$71)</f>
        <v>M7
Jan-28</v>
      </c>
    </row>
    <row r="17" customFormat="false" ht="15" hidden="false" customHeight="false" outlineLevel="0" collapsed="false">
      <c r="A17" s="9" t="s">
        <v>495</v>
      </c>
    </row>
    <row r="18" customFormat="false" ht="15" hidden="false" customHeight="false" outlineLevel="0" collapsed="false">
      <c r="A18" s="3" t="s">
        <v>496</v>
      </c>
      <c r="F18" s="14" t="n">
        <f aca="false">Forecast!$D$70</f>
        <v>3770782.88429056</v>
      </c>
    </row>
    <row r="19" customFormat="false" ht="15" hidden="false" customHeight="false" outlineLevel="0" collapsed="false">
      <c r="A19" s="3" t="s">
        <v>497</v>
      </c>
      <c r="F19" s="11" t="n">
        <v>0</v>
      </c>
    </row>
    <row r="20" customFormat="false" ht="15" hidden="false" customHeight="false" outlineLevel="0" collapsed="false">
      <c r="A20" s="3" t="s">
        <v>498</v>
      </c>
      <c r="F20" s="14" t="n">
        <f aca="false">F18-F19</f>
        <v>3770782.88429056</v>
      </c>
    </row>
    <row r="21" customFormat="false" ht="15" hidden="false" customHeight="false" outlineLevel="0" collapsed="false">
      <c r="A21" s="3" t="s">
        <v>499</v>
      </c>
      <c r="F21" s="14" t="n">
        <f aca="false">F9+Forecast!$D$64</f>
        <v>9427146.35256</v>
      </c>
    </row>
    <row r="22" customFormat="false" ht="15" hidden="false" customHeight="false" outlineLevel="0" collapsed="false">
      <c r="A22" s="3" t="s">
        <v>500</v>
      </c>
      <c r="F22" s="18" t="n">
        <f aca="false">F20/(F21+F20)</f>
        <v>0.285710191092855</v>
      </c>
    </row>
    <row r="23" customFormat="false" ht="15" hidden="false" customHeight="false" outlineLevel="0" collapsed="false">
      <c r="A23" s="3" t="s">
        <v>501</v>
      </c>
      <c r="F23" s="18" t="n">
        <f aca="false">F12*(1-F22)</f>
        <v>0.59076973388986</v>
      </c>
    </row>
    <row r="24" customFormat="false" ht="15" hidden="false" customHeight="false" outlineLevel="0" collapsed="false">
      <c r="A24" s="3" t="s">
        <v>502</v>
      </c>
      <c r="F24" s="18" t="n">
        <f aca="false">1-F23-F11*(1-F22)</f>
        <v>0.373515775664782</v>
      </c>
    </row>
    <row r="26" customFormat="false" ht="162.65" hidden="false" customHeight="false" outlineLevel="0" collapsed="false">
      <c r="A26" s="9" t="s">
        <v>202</v>
      </c>
      <c r="C26" s="33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504</v>
      </c>
    </row>
    <row r="3" customFormat="false" ht="15" hidden="false" customHeight="false" outlineLevel="0" collapsed="false">
      <c r="A3" s="2" t="s">
        <v>505</v>
      </c>
      <c r="B3" s="2" t="s">
        <v>506</v>
      </c>
      <c r="C3" s="2" t="s">
        <v>507</v>
      </c>
      <c r="D3" s="2" t="s">
        <v>508</v>
      </c>
    </row>
    <row r="4" customFormat="false" ht="15" hidden="false" customHeight="false" outlineLevel="0" collapsed="false">
      <c r="A4" s="3" t="s">
        <v>509</v>
      </c>
      <c r="B4" s="17" t="n">
        <f aca="false">Forecast!AO4+Forecast!AO5+Forecast!AO16+Forecast!AO23+Forecast!AO24+Forecast!AO25</f>
        <v>270000</v>
      </c>
      <c r="C4" s="17" t="n">
        <f aca="false">Forecast!AP4+Forecast!AP5+Forecast!AP16+Forecast!AP23+Forecast!AP24+Forecast!AP25</f>
        <v>720000</v>
      </c>
      <c r="D4" s="3" t="s">
        <v>510</v>
      </c>
    </row>
    <row r="5" customFormat="false" ht="15" hidden="false" customHeight="false" outlineLevel="0" collapsed="false">
      <c r="A5" s="3" t="s">
        <v>511</v>
      </c>
      <c r="B5" s="17" t="n">
        <f aca="false">Forecast!AO10+Forecast!AO11+Forecast!AO13+Forecast!AO14+Forecast!AO22</f>
        <v>158341.468</v>
      </c>
      <c r="C5" s="17" t="n">
        <f aca="false">Forecast!AP10+Forecast!AP11+Forecast!AP13+Forecast!AP14+Forecast!AP22</f>
        <v>425000</v>
      </c>
      <c r="D5" s="3" t="s">
        <v>512</v>
      </c>
    </row>
    <row r="6" customFormat="false" ht="15" hidden="false" customHeight="false" outlineLevel="0" collapsed="false">
      <c r="A6" s="3" t="s">
        <v>513</v>
      </c>
      <c r="B6" s="17" t="n">
        <f aca="false">Forecast!AO12+Forecast!AO17+Forecast!AO18</f>
        <v>30000</v>
      </c>
      <c r="C6" s="17" t="n">
        <f aca="false">Forecast!AP12+Forecast!AP17+Forecast!AP18</f>
        <v>630000</v>
      </c>
      <c r="D6" s="3" t="s">
        <v>514</v>
      </c>
    </row>
    <row r="7" customFormat="false" ht="15" hidden="false" customHeight="false" outlineLevel="0" collapsed="false">
      <c r="A7" s="3" t="s">
        <v>515</v>
      </c>
      <c r="B7" s="17" t="n">
        <f aca="false">Forecast!AO15+Forecast!AO19+Forecast!AO20+Forecast!AO26+Forecast!AO27</f>
        <v>0</v>
      </c>
      <c r="C7" s="17" t="n">
        <f aca="false">Forecast!AP15+Forecast!AP19+Forecast!AP20+Forecast!AP26+Forecast!AP27</f>
        <v>2237360.7</v>
      </c>
      <c r="D7" s="3" t="s">
        <v>516</v>
      </c>
    </row>
    <row r="8" customFormat="false" ht="15" hidden="false" customHeight="false" outlineLevel="0" collapsed="false">
      <c r="A8" s="3" t="s">
        <v>517</v>
      </c>
      <c r="B8" s="17" t="n">
        <f aca="false">Forecast!AO6+Forecast!AO7+Forecast!AO9</f>
        <v>253000</v>
      </c>
      <c r="C8" s="17" t="n">
        <f aca="false">Forecast!AP6+Forecast!AP7+Forecast!AP9</f>
        <v>341000</v>
      </c>
      <c r="D8" s="3" t="s">
        <v>518</v>
      </c>
    </row>
    <row r="9" customFormat="false" ht="15" hidden="false" customHeight="false" outlineLevel="0" collapsed="false">
      <c r="A9" s="3" t="s">
        <v>519</v>
      </c>
      <c r="B9" s="17" t="n">
        <f aca="false">Forecast!AO21+Forecast!AO8+Forecast!AO28+Forecast!AO29</f>
        <v>85000</v>
      </c>
      <c r="C9" s="17" t="n">
        <f aca="false">Forecast!AP21+Forecast!AP8+Forecast!AP28+Forecast!AP29</f>
        <v>459000</v>
      </c>
      <c r="D9" s="3" t="s">
        <v>520</v>
      </c>
    </row>
    <row r="10" customFormat="false" ht="15" hidden="false" customHeight="false" outlineLevel="0" collapsed="false">
      <c r="A10" s="0" t="s">
        <v>372</v>
      </c>
      <c r="B10" s="17" t="n">
        <f aca="false">Forecast!AO31</f>
        <v>79634.1468</v>
      </c>
      <c r="C10" s="17" t="n">
        <f aca="false">Forecast!AP31</f>
        <v>481236.07</v>
      </c>
    </row>
    <row r="11" customFormat="false" ht="15" hidden="false" customHeight="false" outlineLevel="0" collapsed="false">
      <c r="A11" s="9" t="s">
        <v>521</v>
      </c>
      <c r="B11" s="15" t="n">
        <f aca="false">SUM(B4:B10)</f>
        <v>875975.6148</v>
      </c>
      <c r="C11" s="15" t="n">
        <f aca="false">SUM(C4:C10)</f>
        <v>5293596.77</v>
      </c>
    </row>
    <row r="12" customFormat="false" ht="15" hidden="false" customHeight="false" outlineLevel="0" collapsed="false">
      <c r="A12" s="0" t="s">
        <v>522</v>
      </c>
      <c r="B12" s="14" t="n">
        <f aca="false">B11-Forecast!AO32</f>
        <v>0</v>
      </c>
      <c r="C12" s="14" t="n">
        <f aca="false">C11-Forecast!AP32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60"/>
    <col collapsed="false" customWidth="true" hidden="false" outlineLevel="0" max="8" min="8" style="0" width="7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523</v>
      </c>
    </row>
    <row r="3" customFormat="false" ht="15" hidden="false" customHeight="false" outlineLevel="0" collapsed="false">
      <c r="A3" s="2" t="s">
        <v>298</v>
      </c>
      <c r="B3" s="2" t="s">
        <v>524</v>
      </c>
      <c r="C3" s="2" t="s">
        <v>525</v>
      </c>
      <c r="D3" s="2" t="s">
        <v>526</v>
      </c>
      <c r="E3" s="2" t="s">
        <v>527</v>
      </c>
      <c r="F3" s="2" t="s">
        <v>528</v>
      </c>
      <c r="G3" s="2" t="s">
        <v>529</v>
      </c>
      <c r="H3" s="2" t="s">
        <v>530</v>
      </c>
      <c r="I3" s="2" t="s">
        <v>531</v>
      </c>
    </row>
    <row r="4" customFormat="false" ht="15" hidden="false" customHeight="false" outlineLevel="0" collapsed="false">
      <c r="A4" s="3" t="s">
        <v>532</v>
      </c>
      <c r="B4" s="3" t="s">
        <v>533</v>
      </c>
      <c r="C4" s="11" t="n">
        <v>20890</v>
      </c>
      <c r="D4" s="3" t="s">
        <v>534</v>
      </c>
      <c r="E4" s="14" t="n">
        <f aca="false">C4</f>
        <v>20890</v>
      </c>
      <c r="F4" s="3" t="s">
        <v>535</v>
      </c>
      <c r="G4" s="3" t="s">
        <v>536</v>
      </c>
      <c r="H4" s="3" t="s">
        <v>537</v>
      </c>
      <c r="I4" s="3" t="s">
        <v>538</v>
      </c>
    </row>
    <row r="5" customFormat="false" ht="15" hidden="false" customHeight="false" outlineLevel="0" collapsed="false">
      <c r="A5" s="3" t="s">
        <v>539</v>
      </c>
      <c r="B5" s="3" t="s">
        <v>533</v>
      </c>
      <c r="C5" s="11" t="n">
        <v>25990</v>
      </c>
      <c r="D5" s="3" t="s">
        <v>534</v>
      </c>
      <c r="E5" s="14" t="n">
        <f aca="false">C5</f>
        <v>25990</v>
      </c>
      <c r="F5" s="3" t="s">
        <v>540</v>
      </c>
      <c r="G5" s="3" t="s">
        <v>541</v>
      </c>
      <c r="H5" s="3" t="s">
        <v>542</v>
      </c>
      <c r="I5" s="3" t="s">
        <v>538</v>
      </c>
    </row>
    <row r="6" customFormat="false" ht="15" hidden="false" customHeight="false" outlineLevel="0" collapsed="false">
      <c r="A6" s="3" t="s">
        <v>543</v>
      </c>
      <c r="B6" s="3" t="s">
        <v>533</v>
      </c>
      <c r="C6" s="11" t="n">
        <v>12000</v>
      </c>
      <c r="D6" s="3" t="s">
        <v>534</v>
      </c>
      <c r="E6" s="14" t="n">
        <f aca="false">C6</f>
        <v>12000</v>
      </c>
      <c r="F6" s="3" t="s">
        <v>544</v>
      </c>
      <c r="G6" s="3" t="s">
        <v>545</v>
      </c>
      <c r="H6" s="3" t="s">
        <v>546</v>
      </c>
      <c r="I6" s="3" t="s">
        <v>538</v>
      </c>
    </row>
    <row r="7" customFormat="false" ht="15" hidden="false" customHeight="false" outlineLevel="0" collapsed="false">
      <c r="A7" s="3" t="s">
        <v>547</v>
      </c>
      <c r="B7" s="3" t="s">
        <v>533</v>
      </c>
      <c r="C7" s="11" t="n">
        <v>13999</v>
      </c>
      <c r="D7" s="3" t="s">
        <v>534</v>
      </c>
      <c r="E7" s="14" t="n">
        <f aca="false">C7</f>
        <v>13999</v>
      </c>
      <c r="F7" s="3" t="s">
        <v>548</v>
      </c>
      <c r="G7" s="3" t="s">
        <v>549</v>
      </c>
      <c r="H7" s="3" t="s">
        <v>550</v>
      </c>
      <c r="I7" s="3" t="s">
        <v>538</v>
      </c>
    </row>
    <row r="8" customFormat="false" ht="15" hidden="false" customHeight="false" outlineLevel="0" collapsed="false">
      <c r="A8" s="3" t="s">
        <v>551</v>
      </c>
      <c r="B8" s="3" t="s">
        <v>552</v>
      </c>
      <c r="C8" s="34" t="n">
        <v>5899</v>
      </c>
      <c r="D8" s="3" t="s">
        <v>553</v>
      </c>
      <c r="E8" s="14" t="n">
        <f aca="false">C8*Assumptions!$C$40</f>
        <v>564593.29</v>
      </c>
      <c r="F8" s="3" t="s">
        <v>554</v>
      </c>
      <c r="G8" s="3" t="s">
        <v>555</v>
      </c>
      <c r="H8" s="3" t="s">
        <v>556</v>
      </c>
      <c r="I8" s="3" t="s">
        <v>538</v>
      </c>
    </row>
    <row r="9" customFormat="false" ht="15" hidden="false" customHeight="false" outlineLevel="0" collapsed="false">
      <c r="A9" s="3" t="s">
        <v>557</v>
      </c>
      <c r="B9" s="3" t="s">
        <v>558</v>
      </c>
      <c r="C9" s="11" t="n">
        <v>58480</v>
      </c>
      <c r="D9" s="3" t="s">
        <v>534</v>
      </c>
      <c r="E9" s="14" t="n">
        <f aca="false">C9</f>
        <v>58480</v>
      </c>
      <c r="F9" s="3" t="s">
        <v>559</v>
      </c>
      <c r="G9" s="3" t="s">
        <v>560</v>
      </c>
      <c r="H9" s="3" t="s">
        <v>561</v>
      </c>
      <c r="I9" s="3" t="s">
        <v>538</v>
      </c>
    </row>
    <row r="10" customFormat="false" ht="15" hidden="false" customHeight="false" outlineLevel="0" collapsed="false">
      <c r="A10" s="3" t="s">
        <v>562</v>
      </c>
      <c r="B10" s="3" t="s">
        <v>563</v>
      </c>
      <c r="C10" s="34" t="n">
        <v>55.98</v>
      </c>
      <c r="D10" s="3" t="s">
        <v>553</v>
      </c>
      <c r="E10" s="14" t="n">
        <f aca="false">C10*Assumptions!$C$40</f>
        <v>5357.8458</v>
      </c>
      <c r="F10" s="3" t="s">
        <v>564</v>
      </c>
      <c r="G10" s="3" t="s">
        <v>565</v>
      </c>
      <c r="H10" s="3" t="s">
        <v>566</v>
      </c>
      <c r="I10" s="3" t="s">
        <v>538</v>
      </c>
    </row>
    <row r="11" customFormat="false" ht="15" hidden="false" customHeight="false" outlineLevel="0" collapsed="false">
      <c r="A11" s="3" t="s">
        <v>567</v>
      </c>
      <c r="B11" s="3" t="s">
        <v>558</v>
      </c>
      <c r="C11" s="11" t="n">
        <v>35980</v>
      </c>
      <c r="D11" s="3" t="s">
        <v>534</v>
      </c>
      <c r="E11" s="14" t="n">
        <f aca="false">C11</f>
        <v>35980</v>
      </c>
      <c r="F11" s="3" t="s">
        <v>559</v>
      </c>
      <c r="G11" s="3" t="s">
        <v>568</v>
      </c>
      <c r="H11" s="3" t="s">
        <v>561</v>
      </c>
      <c r="I11" s="3" t="s">
        <v>538</v>
      </c>
    </row>
    <row r="12" customFormat="false" ht="15" hidden="false" customHeight="false" outlineLevel="0" collapsed="false">
      <c r="A12" s="9" t="s">
        <v>569</v>
      </c>
    </row>
    <row r="13" customFormat="false" ht="15" hidden="false" customHeight="false" outlineLevel="0" collapsed="false">
      <c r="A13" s="0" t="s">
        <v>570</v>
      </c>
      <c r="E13" s="17" t="n">
        <f aca="false">Assumptions!$C$12</f>
        <v>9999</v>
      </c>
    </row>
    <row r="14" customFormat="false" ht="15" hidden="false" customHeight="false" outlineLevel="0" collapsed="false">
      <c r="A14" s="0" t="s">
        <v>226</v>
      </c>
      <c r="E14" s="17" t="n">
        <f aca="false">Assumptions!$C$15</f>
        <v>7999</v>
      </c>
    </row>
    <row r="15" customFormat="false" ht="15" hidden="false" customHeight="false" outlineLevel="0" collapsed="false">
      <c r="A15" s="0" t="s">
        <v>571</v>
      </c>
      <c r="E15" s="18" t="n">
        <f aca="false">E13/E8</f>
        <v>0.0177100935790434</v>
      </c>
      <c r="F15" s="16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573</v>
      </c>
    </row>
    <row r="3" customFormat="false" ht="15" hidden="false" customHeight="false" outlineLevel="0" collapsed="false">
      <c r="A3" s="3" t="s">
        <v>574</v>
      </c>
      <c r="B3" s="3" t="s">
        <v>575</v>
      </c>
    </row>
    <row r="4" customFormat="false" ht="15" hidden="false" customHeight="false" outlineLevel="0" collapsed="false">
      <c r="A4" s="3" t="s">
        <v>576</v>
      </c>
      <c r="B4" s="3" t="s">
        <v>577</v>
      </c>
    </row>
    <row r="5" customFormat="false" ht="15" hidden="false" customHeight="false" outlineLevel="0" collapsed="false">
      <c r="A5" s="3" t="s">
        <v>578</v>
      </c>
      <c r="B5" s="3" t="s">
        <v>579</v>
      </c>
    </row>
    <row r="6" customFormat="false" ht="15" hidden="false" customHeight="false" outlineLevel="0" collapsed="false">
      <c r="A6" s="3" t="s">
        <v>580</v>
      </c>
      <c r="B6" s="3" t="s">
        <v>581</v>
      </c>
    </row>
    <row r="7" customFormat="false" ht="15" hidden="false" customHeight="false" outlineLevel="0" collapsed="false">
      <c r="A7" s="3" t="s">
        <v>582</v>
      </c>
      <c r="B7" s="3" t="s">
        <v>583</v>
      </c>
    </row>
    <row r="8" customFormat="false" ht="15" hidden="false" customHeight="false" outlineLevel="0" collapsed="false">
      <c r="A8" s="3" t="s">
        <v>584</v>
      </c>
      <c r="B8" s="3" t="s">
        <v>585</v>
      </c>
    </row>
    <row r="9" customFormat="false" ht="15" hidden="false" customHeight="false" outlineLevel="0" collapsed="false">
      <c r="A9" s="3" t="s">
        <v>586</v>
      </c>
      <c r="B9" s="3" t="s">
        <v>587</v>
      </c>
    </row>
    <row r="10" customFormat="false" ht="15" hidden="false" customHeight="false" outlineLevel="0" collapsed="false">
      <c r="A10" s="3" t="s">
        <v>588</v>
      </c>
      <c r="B10" s="3" t="s">
        <v>589</v>
      </c>
    </row>
    <row r="11" customFormat="false" ht="15" hidden="false" customHeight="false" outlineLevel="0" collapsed="false">
      <c r="A11" s="3" t="s">
        <v>590</v>
      </c>
      <c r="B11" s="3" t="s">
        <v>591</v>
      </c>
    </row>
    <row r="12" customFormat="false" ht="15" hidden="false" customHeight="false" outlineLevel="0" collapsed="false">
      <c r="A12" s="3" t="s">
        <v>592</v>
      </c>
      <c r="B12" s="3" t="s">
        <v>593</v>
      </c>
    </row>
    <row r="13" customFormat="false" ht="15" hidden="false" customHeight="false" outlineLevel="0" collapsed="false">
      <c r="A13" s="3" t="s">
        <v>594</v>
      </c>
      <c r="B13" s="3" t="s">
        <v>595</v>
      </c>
    </row>
    <row r="14" customFormat="false" ht="15" hidden="false" customHeight="false" outlineLevel="0" collapsed="false">
      <c r="A14" s="3" t="s">
        <v>596</v>
      </c>
      <c r="B14" s="3" t="s">
        <v>597</v>
      </c>
    </row>
    <row r="15" customFormat="false" ht="15" hidden="false" customHeight="false" outlineLevel="0" collapsed="false">
      <c r="A15" s="3" t="s">
        <v>598</v>
      </c>
      <c r="B15" s="3" t="s">
        <v>599</v>
      </c>
    </row>
    <row r="16" customFormat="false" ht="15" hidden="false" customHeight="false" outlineLevel="0" collapsed="false">
      <c r="A16" s="3" t="s">
        <v>600</v>
      </c>
      <c r="B16" s="3" t="s">
        <v>601</v>
      </c>
    </row>
    <row r="17" customFormat="false" ht="15" hidden="false" customHeight="false" outlineLevel="0" collapsed="false">
      <c r="A17" s="3" t="s">
        <v>602</v>
      </c>
      <c r="B17" s="3" t="s">
        <v>537</v>
      </c>
    </row>
    <row r="18" customFormat="false" ht="15" hidden="false" customHeight="false" outlineLevel="0" collapsed="false">
      <c r="A18" s="3" t="s">
        <v>603</v>
      </c>
      <c r="B18" s="3" t="s">
        <v>542</v>
      </c>
    </row>
    <row r="19" customFormat="false" ht="15" hidden="false" customHeight="false" outlineLevel="0" collapsed="false">
      <c r="A19" s="3" t="s">
        <v>604</v>
      </c>
      <c r="B19" s="3" t="s">
        <v>546</v>
      </c>
    </row>
    <row r="20" customFormat="false" ht="15" hidden="false" customHeight="false" outlineLevel="0" collapsed="false">
      <c r="A20" s="3" t="s">
        <v>605</v>
      </c>
      <c r="B20" s="3" t="s">
        <v>550</v>
      </c>
    </row>
    <row r="21" customFormat="false" ht="15" hidden="false" customHeight="false" outlineLevel="0" collapsed="false">
      <c r="A21" s="3" t="s">
        <v>606</v>
      </c>
      <c r="B21" s="3" t="s">
        <v>561</v>
      </c>
    </row>
    <row r="22" customFormat="false" ht="15" hidden="false" customHeight="false" outlineLevel="0" collapsed="false">
      <c r="A22" s="3" t="s">
        <v>607</v>
      </c>
      <c r="B22" s="3" t="s">
        <v>556</v>
      </c>
    </row>
    <row r="23" customFormat="false" ht="15" hidden="false" customHeight="false" outlineLevel="0" collapsed="false">
      <c r="A23" s="3" t="s">
        <v>608</v>
      </c>
      <c r="B23" s="3" t="s">
        <v>609</v>
      </c>
    </row>
    <row r="24" customFormat="false" ht="15" hidden="false" customHeight="false" outlineLevel="0" collapsed="false">
      <c r="A24" s="3" t="s">
        <v>610</v>
      </c>
      <c r="B24" s="3" t="s">
        <v>566</v>
      </c>
    </row>
    <row r="25" customFormat="false" ht="15" hidden="false" customHeight="false" outlineLevel="0" collapsed="false">
      <c r="A25" s="3" t="s">
        <v>611</v>
      </c>
      <c r="B25" s="3" t="s">
        <v>612</v>
      </c>
    </row>
    <row r="26" customFormat="false" ht="15" hidden="false" customHeight="false" outlineLevel="0" collapsed="false">
      <c r="A26" s="3" t="s">
        <v>613</v>
      </c>
      <c r="B26" s="3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2026-10-16T07:06:43Z</dcterms:created>
  <dc:creator>openpyxl</dc:creator>
  <dc:description/>
  <dc:language>en-US</dc:language>
  <cp:lastModifiedBy/>
  <dcterms:modified xsi:type="dcterms:W3CDTF">2026-10-16T07:06:43Z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